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用说明" sheetId="1" state="visible" r:id="rId3"/>
    <sheet name="CMF清单" sheetId="2" state="visible" r:id="rId4"/>
    <sheet name="测试要求" sheetId="3" state="visible" r:id="rId5"/>
    <sheet name="随附文件清单" sheetId="4" state="visible" r:id="rId6"/>
    <sheet name="工艺参考" sheetId="5" state="visible" r:id="rId7"/>
    <sheet name="术语表" sheetId="6" state="visible" r:id="rId8"/>
    <sheet name="资料来源" sheetId="7" state="visible" r:id="rId9"/>
  </sheets>
  <definedNames>
    <definedName function="false" hidden="false" localSheetId="1" name="_xlnm.Print_Titles" vbProcedure="false">CMF清单!$A:$D,CMF清单!$10:$10</definedName>
    <definedName function="false" hidden="false" localSheetId="5" name="_xlnm.Print_Titles" vbProcedure="false">术语表!$3:$3</definedName>
    <definedName function="false" hidden="false" localSheetId="2" name="_xlnm.Print_Titles" vbProcedure="false">测试要求!$4:$4</definedName>
    <definedName function="false" hidden="false" localSheetId="6" name="_xlnm.Print_Titles" vbProcedure="false">资料来源!$4:$4</definedName>
    <definedName function="false" hidden="false" localSheetId="3" name="_xlnm.Print_Titles" vbProcedure="false">随附文件清单!$3:$3</definedName>
    <definedName function="false" hidden="false" localSheetId="1" name="_xlnm.Print_Titles" vbProcedure="false">CMF清单!$10:$10,CMF清单!$A:$D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<sst xmlns="http://schemas.openxmlformats.org/spreadsheetml/2006/main" count="770" uniqueCount="659">
  <si>
    <r>
      <rPr>
        <b val="true"/>
        <sz val="20"/>
        <color rgb="FF1F3A5F"/>
        <rFont val="微软雅黑"/>
        <family val="2"/>
      </rPr>
      <t xml:space="preserve">产品 </t>
    </r>
    <r>
      <rPr>
        <b val="true"/>
        <sz val="20"/>
        <color rgb="FF1F3A5F"/>
        <rFont val="微软雅黑"/>
        <family val="0"/>
        <charset val="1"/>
      </rPr>
      <t xml:space="preserve">CMF </t>
    </r>
    <r>
      <rPr>
        <b val="true"/>
        <sz val="20"/>
        <color rgb="FF1F3A5F"/>
        <rFont val="微软雅黑"/>
        <family val="2"/>
      </rPr>
      <t xml:space="preserve">清单 </t>
    </r>
    <r>
      <rPr>
        <b val="true"/>
        <sz val="20"/>
        <color rgb="FF1F3A5F"/>
        <rFont val="微软雅黑"/>
        <family val="0"/>
        <charset val="1"/>
      </rPr>
      <t xml:space="preserve">· </t>
    </r>
    <r>
      <rPr>
        <b val="true"/>
        <sz val="20"/>
        <color rgb="FF1F3A5F"/>
        <rFont val="微软雅黑"/>
        <family val="2"/>
      </rPr>
      <t xml:space="preserve">厂家对接版</t>
    </r>
  </si>
  <si>
    <r>
      <rPr>
        <sz val="10"/>
        <color rgb="FF595959"/>
        <rFont val="微软雅黑"/>
        <family val="2"/>
      </rPr>
      <t xml:space="preserve">版本 </t>
    </r>
    <r>
      <rPr>
        <sz val="10"/>
        <color rgb="FF595959"/>
        <rFont val="微软雅黑"/>
        <family val="0"/>
        <charset val="1"/>
      </rPr>
      <t xml:space="preserve">V1.0</t>
    </r>
    <r>
      <rPr>
        <sz val="10"/>
        <color rgb="FF595959"/>
        <rFont val="微软雅黑"/>
        <family val="2"/>
      </rPr>
      <t xml:space="preserve">　｜　编制日期 </t>
    </r>
    <r>
      <rPr>
        <sz val="10"/>
        <color rgb="FF595959"/>
        <rFont val="微软雅黑"/>
        <family val="0"/>
        <charset val="1"/>
      </rPr>
      <t xml:space="preserve">2026-10-09</t>
    </r>
    <r>
      <rPr>
        <sz val="10"/>
        <color rgb="FF595959"/>
        <rFont val="微软雅黑"/>
        <family val="2"/>
      </rPr>
      <t xml:space="preserve">　｜　方案：雾银机身 </t>
    </r>
    <r>
      <rPr>
        <sz val="10"/>
        <color rgb="FF595959"/>
        <rFont val="微软雅黑"/>
        <family val="0"/>
        <charset val="1"/>
      </rPr>
      <t xml:space="preserve">+ </t>
    </r>
    <r>
      <rPr>
        <sz val="10"/>
        <color rgb="FF595959"/>
        <rFont val="微软雅黑"/>
        <family val="2"/>
      </rPr>
      <t xml:space="preserve">玫瑰金铝件 </t>
    </r>
    <r>
      <rPr>
        <sz val="10"/>
        <color rgb="FF595959"/>
        <rFont val="微软雅黑"/>
        <family val="0"/>
        <charset val="1"/>
      </rPr>
      <t xml:space="preserve">+ </t>
    </r>
    <r>
      <rPr>
        <sz val="10"/>
        <color rgb="FF595959"/>
        <rFont val="微软雅黑"/>
        <family val="2"/>
      </rPr>
      <t xml:space="preserve">暖黄灯圈</t>
    </r>
  </si>
  <si>
    <t xml:space="preserve">一、这份表是什么</t>
  </si>
  <si>
    <t xml:space="preserve">CMF</t>
  </si>
  <si>
    <r>
      <rPr>
        <sz val="10"/>
        <color rgb="FF000000"/>
        <rFont val="微软雅黑"/>
        <family val="0"/>
        <charset val="1"/>
      </rPr>
      <t xml:space="preserve">Color</t>
    </r>
    <r>
      <rPr>
        <sz val="10"/>
        <color rgb="FF000000"/>
        <rFont val="微软雅黑"/>
        <family val="2"/>
      </rPr>
      <t xml:space="preserve">（颜色）、</t>
    </r>
    <r>
      <rPr>
        <sz val="10"/>
        <color rgb="FF000000"/>
        <rFont val="微软雅黑"/>
        <family val="0"/>
        <charset val="1"/>
      </rPr>
      <t xml:space="preserve">Material</t>
    </r>
    <r>
      <rPr>
        <sz val="10"/>
        <color rgb="FF000000"/>
        <rFont val="微软雅黑"/>
        <family val="2"/>
      </rPr>
      <t xml:space="preserve">（材料）、</t>
    </r>
    <r>
      <rPr>
        <sz val="10"/>
        <color rgb="FF000000"/>
        <rFont val="微软雅黑"/>
        <family val="0"/>
        <charset val="1"/>
      </rPr>
      <t xml:space="preserve">Finish</t>
    </r>
    <r>
      <rPr>
        <sz val="10"/>
        <color rgb="FF000000"/>
        <rFont val="微软雅黑"/>
        <family val="2"/>
      </rPr>
      <t xml:space="preserve">（表面处理）。厂家报价、开模、打样和量产验收都依据这份清单。效果图只能表达感觉，这份表把感觉翻译成工厂能执行、能检验的语言。</t>
    </r>
  </si>
  <si>
    <r>
      <rPr>
        <b val="true"/>
        <sz val="12"/>
        <color rgb="FF1F3A5F"/>
        <rFont val="微软雅黑"/>
        <family val="2"/>
      </rPr>
      <t xml:space="preserve">二、怎么填（</t>
    </r>
    <r>
      <rPr>
        <b val="true"/>
        <sz val="12"/>
        <color rgb="FF1F3A5F"/>
        <rFont val="微软雅黑"/>
        <family val="0"/>
        <charset val="1"/>
      </rPr>
      <t xml:space="preserve">5 </t>
    </r>
    <r>
      <rPr>
        <b val="true"/>
        <sz val="12"/>
        <color rgb="FF1F3A5F"/>
        <rFont val="微软雅黑"/>
        <family val="2"/>
      </rPr>
      <t xml:space="preserve">步）</t>
    </r>
  </si>
  <si>
    <r>
      <rPr>
        <b val="true"/>
        <sz val="10"/>
        <color rgb="FF000000"/>
        <rFont val="微软雅黑"/>
        <family val="2"/>
      </rPr>
      <t xml:space="preserve">第 </t>
    </r>
    <r>
      <rPr>
        <b val="true"/>
        <sz val="10"/>
        <color rgb="FF000000"/>
        <rFont val="微软雅黑"/>
        <family val="0"/>
        <charset val="1"/>
      </rPr>
      <t xml:space="preserve">1 </t>
    </r>
    <r>
      <rPr>
        <b val="true"/>
        <sz val="10"/>
        <color rgb="FF000000"/>
        <rFont val="微软雅黑"/>
        <family val="2"/>
      </rPr>
      <t xml:space="preserve">步</t>
    </r>
  </si>
  <si>
    <r>
      <rPr>
        <sz val="10"/>
        <color rgb="FF000000"/>
        <rFont val="微软雅黑"/>
        <family val="2"/>
      </rPr>
      <t xml:space="preserve">打开「</t>
    </r>
    <r>
      <rPr>
        <sz val="10"/>
        <color rgb="FF000000"/>
        <rFont val="微软雅黑"/>
        <family val="0"/>
        <charset val="1"/>
      </rPr>
      <t xml:space="preserve">CMF</t>
    </r>
    <r>
      <rPr>
        <sz val="10"/>
        <color rgb="FF000000"/>
        <rFont val="微软雅黑"/>
        <family val="2"/>
      </rPr>
      <t xml:space="preserve">清单」，先填顶部的项目信息（黄色格）。</t>
    </r>
  </si>
  <si>
    <r>
      <rPr>
        <b val="true"/>
        <sz val="10"/>
        <color rgb="FF000000"/>
        <rFont val="微软雅黑"/>
        <family val="2"/>
      </rPr>
      <t xml:space="preserve">第 </t>
    </r>
    <r>
      <rPr>
        <b val="true"/>
        <sz val="10"/>
        <color rgb="FF000000"/>
        <rFont val="微软雅黑"/>
        <family val="0"/>
        <charset val="1"/>
      </rPr>
      <t xml:space="preserve">2 </t>
    </r>
    <r>
      <rPr>
        <b val="true"/>
        <sz val="10"/>
        <color rgb="FF000000"/>
        <rFont val="微软雅黑"/>
        <family val="2"/>
      </rPr>
      <t xml:space="preserve">步</t>
    </r>
  </si>
  <si>
    <r>
      <rPr>
        <sz val="10"/>
        <color rgb="FF000000"/>
        <rFont val="微软雅黑"/>
        <family val="2"/>
      </rPr>
      <t xml:space="preserve">第 </t>
    </r>
    <r>
      <rPr>
        <sz val="10"/>
        <color rgb="FF000000"/>
        <rFont val="微软雅黑"/>
        <family val="0"/>
        <charset val="1"/>
      </rPr>
      <t xml:space="preserve">1–5 </t>
    </r>
    <r>
      <rPr>
        <sz val="10"/>
        <color rgb="FF000000"/>
        <rFont val="微软雅黑"/>
        <family val="2"/>
      </rPr>
      <t xml:space="preserve">行已按本项目方案预填（蓝字）。逐格核对、修改；带【待填】的格子必须填，带【待确认】的要和厂家或安规确认。</t>
    </r>
  </si>
  <si>
    <r>
      <rPr>
        <b val="true"/>
        <sz val="10"/>
        <color rgb="FF000000"/>
        <rFont val="微软雅黑"/>
        <family val="2"/>
      </rPr>
      <t xml:space="preserve">第 </t>
    </r>
    <r>
      <rPr>
        <b val="true"/>
        <sz val="10"/>
        <color rgb="FF000000"/>
        <rFont val="微软雅黑"/>
        <family val="0"/>
        <charset val="1"/>
      </rPr>
      <t xml:space="preserve">3 </t>
    </r>
    <r>
      <rPr>
        <b val="true"/>
        <sz val="10"/>
        <color rgb="FF000000"/>
        <rFont val="微软雅黑"/>
        <family val="2"/>
      </rPr>
      <t xml:space="preserve">步</t>
    </r>
  </si>
  <si>
    <r>
      <rPr>
        <sz val="10"/>
        <color rgb="FF000000"/>
        <rFont val="微软雅黑"/>
        <family val="2"/>
      </rPr>
      <t xml:space="preserve">其他零件从第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微软雅黑"/>
        <family val="2"/>
      </rPr>
      <t xml:space="preserve">行起逐行补充。不会填的格子写「请厂家建议」，不要空着。</t>
    </r>
  </si>
  <si>
    <r>
      <rPr>
        <b val="true"/>
        <sz val="10"/>
        <color rgb="FF000000"/>
        <rFont val="微软雅黑"/>
        <family val="2"/>
      </rPr>
      <t xml:space="preserve">第 </t>
    </r>
    <r>
      <rPr>
        <b val="true"/>
        <sz val="10"/>
        <color rgb="FF000000"/>
        <rFont val="微软雅黑"/>
        <family val="0"/>
        <charset val="1"/>
      </rPr>
      <t xml:space="preserve">4 </t>
    </r>
    <r>
      <rPr>
        <b val="true"/>
        <sz val="10"/>
        <color rgb="FF000000"/>
        <rFont val="微软雅黑"/>
        <family val="2"/>
      </rPr>
      <t xml:space="preserve">步</t>
    </r>
  </si>
  <si>
    <r>
      <rPr>
        <sz val="10"/>
        <color rgb="FF000000"/>
        <rFont val="微软雅黑"/>
        <family val="2"/>
      </rPr>
      <t xml:space="preserve">对照「随附文件清单」准备 </t>
    </r>
    <r>
      <rPr>
        <sz val="10"/>
        <color rgb="FF000000"/>
        <rFont val="微软雅黑"/>
        <family val="0"/>
        <charset val="1"/>
      </rPr>
      <t xml:space="preserve">3D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2D</t>
    </r>
    <r>
      <rPr>
        <sz val="10"/>
        <color rgb="FF000000"/>
        <rFont val="微软雅黑"/>
        <family val="2"/>
      </rPr>
      <t xml:space="preserve">、效果图、色板等附件，并做完「发送前自检」。</t>
    </r>
  </si>
  <si>
    <r>
      <rPr>
        <b val="true"/>
        <sz val="10"/>
        <color rgb="FF000000"/>
        <rFont val="微软雅黑"/>
        <family val="2"/>
      </rPr>
      <t xml:space="preserve">第 </t>
    </r>
    <r>
      <rPr>
        <b val="true"/>
        <sz val="10"/>
        <color rgb="FF000000"/>
        <rFont val="微软雅黑"/>
        <family val="0"/>
        <charset val="1"/>
      </rPr>
      <t xml:space="preserve">5 </t>
    </r>
    <r>
      <rPr>
        <b val="true"/>
        <sz val="10"/>
        <color rgb="FF000000"/>
        <rFont val="微软雅黑"/>
        <family val="2"/>
      </rPr>
      <t xml:space="preserve">步</t>
    </r>
  </si>
  <si>
    <t xml:space="preserve">把整个表格连同附件发给厂家，请厂家在绿色列填写可行性和对价格的影响后发回。</t>
  </si>
  <si>
    <t xml:space="preserve">三、颜色图例</t>
  </si>
  <si>
    <t xml:space="preserve">黄色底</t>
  </si>
  <si>
    <t xml:space="preserve">需要你填写或确认的格子。</t>
  </si>
  <si>
    <t xml:space="preserve">蓝色字</t>
  </si>
  <si>
    <t xml:space="preserve">已按本项目方案预填的建议值，可以修改。</t>
  </si>
  <si>
    <t xml:space="preserve">绿色底</t>
  </si>
  <si>
    <t xml:space="preserve">留给厂家填写：可行性意见、对价格的影响。</t>
  </si>
  <si>
    <t xml:space="preserve">灰色字</t>
  </si>
  <si>
    <t xml:space="preserve">说明文字，不需要改。</t>
  </si>
  <si>
    <t xml:space="preserve">四、填写进度（自动统计）</t>
  </si>
  <si>
    <t xml:space="preserve">含【待填】的格子</t>
  </si>
  <si>
    <t xml:space="preserve">含【待确认】的格子</t>
  </si>
  <si>
    <t xml:space="preserve">含【双方约定】的格子</t>
  </si>
  <si>
    <t xml:space="preserve">还没填完的零件行</t>
  </si>
  <si>
    <r>
      <rPr>
        <sz val="10"/>
        <color rgb="FF000000"/>
        <rFont val="微软雅黑"/>
        <family val="2"/>
      </rPr>
      <t xml:space="preserve">前两项和最后一项归零后再发给厂家；「双方约定」的格子可以留给厂家一起商定。「</t>
    </r>
    <r>
      <rPr>
        <sz val="10"/>
        <color rgb="FF000000"/>
        <rFont val="微软雅黑"/>
        <family val="0"/>
        <charset val="1"/>
      </rPr>
      <t xml:space="preserve">CMF</t>
    </r>
    <r>
      <rPr>
        <sz val="10"/>
        <color rgb="FF000000"/>
        <rFont val="微软雅黑"/>
        <family val="2"/>
      </rPr>
      <t xml:space="preserve">清单」的「填写状态」列会逐行提示：有空格未填 </t>
    </r>
    <r>
      <rPr>
        <sz val="10"/>
        <color rgb="FF000000"/>
        <rFont val="微软雅黑"/>
        <family val="0"/>
        <charset val="1"/>
      </rPr>
      <t xml:space="preserve">/ </t>
    </r>
    <r>
      <rPr>
        <sz val="10"/>
        <color rgb="FF000000"/>
        <rFont val="微软雅黑"/>
        <family val="2"/>
      </rPr>
      <t xml:space="preserve">还有待填项 </t>
    </r>
    <r>
      <rPr>
        <sz val="10"/>
        <color rgb="FF000000"/>
        <rFont val="微软雅黑"/>
        <family val="0"/>
        <charset val="1"/>
      </rPr>
      <t xml:space="preserve">/ </t>
    </r>
    <r>
      <rPr>
        <sz val="10"/>
        <color rgb="FF000000"/>
        <rFont val="微软雅黑"/>
        <family val="2"/>
      </rPr>
      <t xml:space="preserve">已填完。</t>
    </r>
  </si>
  <si>
    <t xml:space="preserve">五、发给厂家时可以这样说</t>
  </si>
  <si>
    <t xml:space="preserve">参考话术</t>
  </si>
  <si>
    <r>
      <rPr>
        <sz val="10"/>
        <color rgb="FF000000"/>
        <rFont val="微软雅黑"/>
        <family val="2"/>
      </rPr>
      <t xml:space="preserve">您好，附件是我们产品的 </t>
    </r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清单、</t>
    </r>
    <r>
      <rPr>
        <sz val="10"/>
        <color rgb="FF000000"/>
        <rFont val="微软雅黑"/>
        <family val="0"/>
        <charset val="1"/>
      </rPr>
      <t xml:space="preserve">3D / 2D </t>
    </r>
    <r>
      <rPr>
        <sz val="10"/>
        <color rgb="FF000000"/>
        <rFont val="微软雅黑"/>
        <family val="2"/>
      </rPr>
      <t xml:space="preserve">文件和效果图。请贵司评估各零件 </t>
    </r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的可行性，在绿色列填写意见和对价格的影响，并告知无法实现或建议调整的项目。色板和限度样请在双方签字确认后再安排量产。</t>
    </r>
  </si>
  <si>
    <t xml:space="preserve">六、重要提醒</t>
  </si>
  <si>
    <t xml:space="preserve">颜色</t>
  </si>
  <si>
    <t xml:space="preserve">所有颜色以双方签字的实物色板为准，效果图只作参考。</t>
  </si>
  <si>
    <t xml:space="preserve">建议值</t>
  </si>
  <si>
    <t xml:space="preserve">表里的「建议值」不是国家标准的规定，是给你的起点；最终数值和厂家商定后写进技术协议。</t>
  </si>
  <si>
    <t xml:space="preserve">标准版本</t>
  </si>
  <si>
    <r>
      <rPr>
        <sz val="10"/>
        <color rgb="FF000000"/>
        <rFont val="微软雅黑"/>
        <family val="2"/>
      </rPr>
      <t xml:space="preserve">标准号和版本是 </t>
    </r>
    <r>
      <rPr>
        <sz val="10"/>
        <color rgb="FF000000"/>
        <rFont val="微软雅黑"/>
        <family val="0"/>
        <charset val="1"/>
      </rPr>
      <t xml:space="preserve">2026-10-09 </t>
    </r>
    <r>
      <rPr>
        <sz val="10"/>
        <color rgb="FF000000"/>
        <rFont val="微软雅黑"/>
        <family val="2"/>
      </rPr>
      <t xml:space="preserve">检索的结果；签合同前请到全国标准信息公共服务平台（</t>
    </r>
    <r>
      <rPr>
        <sz val="10"/>
        <color rgb="FF000000"/>
        <rFont val="微软雅黑"/>
        <family val="0"/>
        <charset val="1"/>
      </rPr>
      <t xml:space="preserve">std.samr.gov.cn</t>
    </r>
    <r>
      <rPr>
        <sz val="10"/>
        <color rgb="FF000000"/>
        <rFont val="微软雅黑"/>
        <family val="2"/>
      </rPr>
      <t xml:space="preserve">）再核对一次。</t>
    </r>
  </si>
  <si>
    <t xml:space="preserve">版本管理</t>
  </si>
  <si>
    <r>
      <rPr>
        <sz val="10"/>
        <color rgb="FF000000"/>
        <rFont val="微软雅黑"/>
        <family val="2"/>
      </rPr>
      <t xml:space="preserve">每次修改都把版本号加一（</t>
    </r>
    <r>
      <rPr>
        <sz val="10"/>
        <color rgb="FF000000"/>
        <rFont val="微软雅黑"/>
        <family val="0"/>
        <charset val="1"/>
      </rPr>
      <t xml:space="preserve">V1.0 → V1.1</t>
    </r>
    <r>
      <rPr>
        <sz val="10"/>
        <color rgb="FF000000"/>
        <rFont val="微软雅黑"/>
        <family val="2"/>
      </rPr>
      <t xml:space="preserve">），并通知厂家用最新版。</t>
    </r>
  </si>
  <si>
    <t xml:space="preserve">七、表格目录</t>
  </si>
  <si>
    <r>
      <rPr>
        <b val="true"/>
        <sz val="10"/>
        <color rgb="FF000000"/>
        <rFont val="微软雅黑"/>
        <family val="0"/>
        <charset val="1"/>
      </rPr>
      <t xml:space="preserve">CMF</t>
    </r>
    <r>
      <rPr>
        <b val="true"/>
        <sz val="10"/>
        <color rgb="FF000000"/>
        <rFont val="微软雅黑"/>
        <family val="2"/>
      </rPr>
      <t xml:space="preserve">清单</t>
    </r>
  </si>
  <si>
    <t xml:space="preserve">主表。每个零件一行：材料、颜色、表面处理、色差、光泽、膜厚、测试、厂家反馈</t>
  </si>
  <si>
    <t xml:space="preserve">测试要求</t>
  </si>
  <si>
    <r>
      <rPr>
        <sz val="10"/>
        <color rgb="FF000000"/>
        <rFont val="微软雅黑"/>
        <family val="0"/>
        <charset val="1"/>
      </rPr>
      <t xml:space="preserve">T01–T18</t>
    </r>
    <r>
      <rPr>
        <sz val="10"/>
        <color rgb="FF000000"/>
        <rFont val="微软雅黑"/>
        <family val="2"/>
      </rPr>
      <t xml:space="preserve">：每项测试依据哪个标准、怎么测、判定要求填什么</t>
    </r>
  </si>
  <si>
    <t xml:space="preserve">随附文件清单</t>
  </si>
  <si>
    <t xml:space="preserve">发给厂家前要准备的文件，以及发送前自检</t>
  </si>
  <si>
    <t xml:space="preserve">工艺参考</t>
  </si>
  <si>
    <r>
      <rPr>
        <sz val="10"/>
        <color rgb="FF000000"/>
        <rFont val="微软雅黑"/>
        <family val="0"/>
        <charset val="1"/>
      </rPr>
      <t xml:space="preserve">VDI / SPI </t>
    </r>
    <r>
      <rPr>
        <sz val="10"/>
        <color rgb="FF000000"/>
        <rFont val="微软雅黑"/>
        <family val="2"/>
      </rPr>
      <t xml:space="preserve">纹理等级、拔模角、铝合金阳极、色温、材料示例牌号</t>
    </r>
  </si>
  <si>
    <t xml:space="preserve">术语表</t>
  </si>
  <si>
    <t xml:space="preserve">看不懂的词在这里查</t>
  </si>
  <si>
    <t xml:space="preserve">资料来源</t>
  </si>
  <si>
    <r>
      <rPr>
        <sz val="10"/>
        <color rgb="FF000000"/>
        <rFont val="微软雅黑"/>
        <family val="0"/>
        <charset val="1"/>
      </rPr>
      <t xml:space="preserve">S01–S37</t>
    </r>
    <r>
      <rPr>
        <sz val="10"/>
        <color rgb="FF000000"/>
        <rFont val="微软雅黑"/>
        <family val="2"/>
      </rPr>
      <t xml:space="preserve">：每一条依据的出处链接</t>
    </r>
  </si>
  <si>
    <r>
      <rPr>
        <b val="true"/>
        <sz val="16"/>
        <color rgb="FF1F3A5F"/>
        <rFont val="微软雅黑"/>
        <family val="2"/>
      </rPr>
      <t xml:space="preserve">产品 </t>
    </r>
    <r>
      <rPr>
        <b val="true"/>
        <sz val="16"/>
        <color rgb="FF1F3A5F"/>
        <rFont val="微软雅黑"/>
        <family val="0"/>
        <charset val="1"/>
      </rPr>
      <t xml:space="preserve">CMF </t>
    </r>
    <r>
      <rPr>
        <b val="true"/>
        <sz val="16"/>
        <color rgb="FF1F3A5F"/>
        <rFont val="微软雅黑"/>
        <family val="2"/>
      </rPr>
      <t xml:space="preserve">清单（</t>
    </r>
    <r>
      <rPr>
        <b val="true"/>
        <sz val="16"/>
        <color rgb="FF1F3A5F"/>
        <rFont val="微软雅黑"/>
        <family val="0"/>
        <charset val="1"/>
      </rPr>
      <t xml:space="preserve">Color </t>
    </r>
    <r>
      <rPr>
        <b val="true"/>
        <sz val="16"/>
        <color rgb="FF1F3A5F"/>
        <rFont val="微软雅黑"/>
        <family val="2"/>
      </rPr>
      <t xml:space="preserve">颜色 </t>
    </r>
    <r>
      <rPr>
        <b val="true"/>
        <sz val="16"/>
        <color rgb="FF1F3A5F"/>
        <rFont val="微软雅黑"/>
        <family val="0"/>
        <charset val="1"/>
      </rPr>
      <t xml:space="preserve">/ Material </t>
    </r>
    <r>
      <rPr>
        <b val="true"/>
        <sz val="16"/>
        <color rgb="FF1F3A5F"/>
        <rFont val="微软雅黑"/>
        <family val="2"/>
      </rPr>
      <t xml:space="preserve">材料 </t>
    </r>
    <r>
      <rPr>
        <b val="true"/>
        <sz val="16"/>
        <color rgb="FF1F3A5F"/>
        <rFont val="微软雅黑"/>
        <family val="0"/>
        <charset val="1"/>
      </rPr>
      <t xml:space="preserve">/ Finish </t>
    </r>
    <r>
      <rPr>
        <b val="true"/>
        <sz val="16"/>
        <color rgb="FF1F3A5F"/>
        <rFont val="微软雅黑"/>
        <family val="2"/>
      </rPr>
      <t xml:space="preserve">表面处理）</t>
    </r>
  </si>
  <si>
    <r>
      <rPr>
        <sz val="10"/>
        <color rgb="FF595959"/>
        <rFont val="微软雅黑"/>
        <family val="2"/>
      </rPr>
      <t xml:space="preserve">黄色格 </t>
    </r>
    <r>
      <rPr>
        <sz val="10"/>
        <color rgb="FF595959"/>
        <rFont val="微软雅黑"/>
        <family val="0"/>
        <charset val="1"/>
      </rPr>
      <t xml:space="preserve">= </t>
    </r>
    <r>
      <rPr>
        <sz val="10"/>
        <color rgb="FF595959"/>
        <rFont val="微软雅黑"/>
        <family val="2"/>
      </rPr>
      <t xml:space="preserve">你来填　｜　蓝字 </t>
    </r>
    <r>
      <rPr>
        <sz val="10"/>
        <color rgb="FF595959"/>
        <rFont val="微软雅黑"/>
        <family val="0"/>
        <charset val="1"/>
      </rPr>
      <t xml:space="preserve">= </t>
    </r>
    <r>
      <rPr>
        <sz val="10"/>
        <color rgb="FF595959"/>
        <rFont val="微软雅黑"/>
        <family val="2"/>
      </rPr>
      <t xml:space="preserve">按本项目方案预填的建议值（可改）　｜　绿色列 </t>
    </r>
    <r>
      <rPr>
        <sz val="10"/>
        <color rgb="FF595959"/>
        <rFont val="微软雅黑"/>
        <family val="0"/>
        <charset val="1"/>
      </rPr>
      <t xml:space="preserve">= </t>
    </r>
    <r>
      <rPr>
        <sz val="10"/>
        <color rgb="FF595959"/>
        <rFont val="微软雅黑"/>
        <family val="2"/>
      </rPr>
      <t xml:space="preserve">请厂家填写　｜　不会填的格子可以写「请厂家建议」　｜　测试编号 </t>
    </r>
    <r>
      <rPr>
        <sz val="10"/>
        <color rgb="FF595959"/>
        <rFont val="微软雅黑"/>
        <family val="0"/>
        <charset val="1"/>
      </rPr>
      <t xml:space="preserve">T01–T18 </t>
    </r>
    <r>
      <rPr>
        <sz val="10"/>
        <color rgb="FF595959"/>
        <rFont val="微软雅黑"/>
        <family val="2"/>
      </rPr>
      <t xml:space="preserve">见「测试要求」表，依据编号 </t>
    </r>
    <r>
      <rPr>
        <sz val="10"/>
        <color rgb="FF595959"/>
        <rFont val="微软雅黑"/>
        <family val="0"/>
        <charset val="1"/>
      </rPr>
      <t xml:space="preserve">S01–S37 </t>
    </r>
    <r>
      <rPr>
        <sz val="10"/>
        <color rgb="FF595959"/>
        <rFont val="微软雅黑"/>
        <family val="2"/>
      </rPr>
      <t xml:space="preserve">见「资料来源」表</t>
    </r>
  </si>
  <si>
    <t xml:space="preserve">项目信息</t>
  </si>
  <si>
    <t xml:space="preserve">项目名称</t>
  </si>
  <si>
    <t xml:space="preserve">【待填】</t>
  </si>
  <si>
    <t xml:space="preserve">产品名称</t>
  </si>
  <si>
    <t xml:space="preserve">版本号</t>
  </si>
  <si>
    <t xml:space="preserve">V1.0</t>
  </si>
  <si>
    <t xml:space="preserve">编制人</t>
  </si>
  <si>
    <r>
      <rPr>
        <b val="true"/>
        <sz val="10"/>
        <color rgb="FF000000"/>
        <rFont val="微软雅黑"/>
        <family val="2"/>
      </rPr>
      <t xml:space="preserve">电话 </t>
    </r>
    <r>
      <rPr>
        <b val="true"/>
        <sz val="10"/>
        <color rgb="FF000000"/>
        <rFont val="微软雅黑"/>
        <family val="0"/>
        <charset val="1"/>
      </rPr>
      <t xml:space="preserve">/ </t>
    </r>
    <r>
      <rPr>
        <b val="true"/>
        <sz val="10"/>
        <color rgb="FF000000"/>
        <rFont val="微软雅黑"/>
        <family val="2"/>
      </rPr>
      <t xml:space="preserve">微信</t>
    </r>
  </si>
  <si>
    <t xml:space="preserve">编制日期</t>
  </si>
  <si>
    <t xml:space="preserve">2026-10-09</t>
  </si>
  <si>
    <t xml:space="preserve">预计首批数量</t>
  </si>
  <si>
    <t xml:space="preserve">预计年用量</t>
  </si>
  <si>
    <t xml:space="preserve">打样数量</t>
  </si>
  <si>
    <r>
      <rPr>
        <b val="true"/>
        <sz val="10"/>
        <color rgb="FF000000"/>
        <rFont val="微软雅黑"/>
        <family val="0"/>
        <charset val="1"/>
      </rPr>
      <t xml:space="preserve">3D </t>
    </r>
    <r>
      <rPr>
        <b val="true"/>
        <sz val="10"/>
        <color rgb="FF000000"/>
        <rFont val="微软雅黑"/>
        <family val="2"/>
      </rPr>
      <t xml:space="preserve">文件名</t>
    </r>
  </si>
  <si>
    <r>
      <rPr>
        <b val="true"/>
        <sz val="10"/>
        <color rgb="FF000000"/>
        <rFont val="微软雅黑"/>
        <family val="0"/>
        <charset val="1"/>
      </rPr>
      <t xml:space="preserve">2D </t>
    </r>
    <r>
      <rPr>
        <b val="true"/>
        <sz val="10"/>
        <color rgb="FF000000"/>
        <rFont val="微软雅黑"/>
        <family val="2"/>
      </rPr>
      <t xml:space="preserve">图纸文件名</t>
    </r>
  </si>
  <si>
    <t xml:space="preserve">期望交样日期</t>
  </si>
  <si>
    <r>
      <rPr>
        <b val="true"/>
        <sz val="10"/>
        <color rgb="FF000000"/>
        <rFont val="微软雅黑"/>
        <family val="2"/>
      </rPr>
      <t xml:space="preserve">产品安规 </t>
    </r>
    <r>
      <rPr>
        <b val="true"/>
        <sz val="10"/>
        <color rgb="FF000000"/>
        <rFont val="微软雅黑"/>
        <family val="0"/>
        <charset val="1"/>
      </rPr>
      <t xml:space="preserve">/ </t>
    </r>
    <r>
      <rPr>
        <b val="true"/>
        <sz val="10"/>
        <color rgb="FF000000"/>
        <rFont val="微软雅黑"/>
        <family val="2"/>
      </rPr>
      <t xml:space="preserve">认证</t>
    </r>
  </si>
  <si>
    <r>
      <rPr>
        <sz val="10"/>
        <color rgb="FF000000"/>
        <rFont val="微软雅黑"/>
        <family val="2"/>
      </rPr>
      <t xml:space="preserve">【待确认】是否需要 </t>
    </r>
    <r>
      <rPr>
        <sz val="10"/>
        <color rgb="FF000000"/>
        <rFont val="微软雅黑"/>
        <family val="0"/>
        <charset val="1"/>
      </rPr>
      <t xml:space="preserve">CCC </t>
    </r>
    <r>
      <rPr>
        <sz val="10"/>
        <color rgb="FF000000"/>
        <rFont val="微软雅黑"/>
        <family val="2"/>
      </rPr>
      <t xml:space="preserve">等认证（影响阻燃材料的选择）</t>
    </r>
  </si>
  <si>
    <t xml:space="preserve">销售地区</t>
  </si>
  <si>
    <r>
      <rPr>
        <sz val="10"/>
        <color rgb="FF000000"/>
        <rFont val="微软雅黑"/>
        <family val="2"/>
      </rPr>
      <t xml:space="preserve">【待填】国内 </t>
    </r>
    <r>
      <rPr>
        <sz val="10"/>
        <color rgb="FF000000"/>
        <rFont val="微软雅黑"/>
        <family val="0"/>
        <charset val="1"/>
      </rPr>
      <t xml:space="preserve">/ </t>
    </r>
    <r>
      <rPr>
        <sz val="10"/>
        <color rgb="FF000000"/>
        <rFont val="微软雅黑"/>
        <family val="2"/>
      </rPr>
      <t xml:space="preserve">出口（影响环保要求）</t>
    </r>
  </si>
  <si>
    <t xml:space="preserve">厂家名称</t>
  </si>
  <si>
    <t xml:space="preserve">（由厂家填写）</t>
  </si>
  <si>
    <t xml:space="preserve">序号</t>
  </si>
  <si>
    <r>
      <rPr>
        <b val="true"/>
        <sz val="10"/>
        <color rgb="FFFFFFFF"/>
        <rFont val="微软雅黑"/>
        <family val="2"/>
      </rPr>
      <t xml:space="preserve">零件编号
（与</t>
    </r>
    <r>
      <rPr>
        <b val="true"/>
        <sz val="10"/>
        <color rgb="FFFFFFFF"/>
        <rFont val="微软雅黑"/>
        <family val="0"/>
        <charset val="1"/>
      </rPr>
      <t xml:space="preserve">3D</t>
    </r>
    <r>
      <rPr>
        <b val="true"/>
        <sz val="10"/>
        <color rgb="FFFFFFFF"/>
        <rFont val="微软雅黑"/>
        <family val="2"/>
      </rPr>
      <t xml:space="preserve">文件一致）</t>
    </r>
  </si>
  <si>
    <t xml:space="preserve">零件名称</t>
  </si>
  <si>
    <t xml:space="preserve">填写状态
（自动）</t>
  </si>
  <si>
    <r>
      <rPr>
        <b val="true"/>
        <sz val="10"/>
        <color rgb="FFFFFFFF"/>
        <rFont val="微软雅黑"/>
        <family val="2"/>
      </rPr>
      <t xml:space="preserve">用量</t>
    </r>
    <r>
      <rPr>
        <b val="true"/>
        <sz val="10"/>
        <color rgb="FFFFFFFF"/>
        <rFont val="微软雅黑"/>
        <family val="0"/>
        <charset val="1"/>
      </rPr>
      <t xml:space="preserve">/</t>
    </r>
    <r>
      <rPr>
        <b val="true"/>
        <sz val="10"/>
        <color rgb="FFFFFFFF"/>
        <rFont val="微软雅黑"/>
        <family val="2"/>
      </rPr>
      <t xml:space="preserve">台</t>
    </r>
  </si>
  <si>
    <r>
      <rPr>
        <b val="true"/>
        <sz val="10"/>
        <color rgb="FFFFFFFF"/>
        <rFont val="微软雅黑"/>
        <family val="2"/>
      </rPr>
      <t xml:space="preserve">外观等级
（</t>
    </r>
    <r>
      <rPr>
        <b val="true"/>
        <sz val="10"/>
        <color rgb="FFFFFFFF"/>
        <rFont val="微软雅黑"/>
        <family val="0"/>
        <charset val="1"/>
      </rPr>
      <t xml:space="preserve">A/B/C</t>
    </r>
    <r>
      <rPr>
        <b val="true"/>
        <sz val="10"/>
        <color rgb="FFFFFFFF"/>
        <rFont val="微软雅黑"/>
        <family val="2"/>
      </rPr>
      <t xml:space="preserve">）</t>
    </r>
  </si>
  <si>
    <t xml:space="preserve">材料类别</t>
  </si>
  <si>
    <t xml:space="preserve">材料牌号（示例）</t>
  </si>
  <si>
    <t xml:space="preserve">阻燃等级</t>
  </si>
  <si>
    <t xml:space="preserve">成型工艺</t>
  </si>
  <si>
    <r>
      <rPr>
        <b val="true"/>
        <sz val="10"/>
        <color rgb="FFFFFFFF"/>
        <rFont val="微软雅黑"/>
        <family val="2"/>
      </rPr>
      <t xml:space="preserve">模具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基材表面
（纹理编号）</t>
    </r>
  </si>
  <si>
    <t xml:space="preserve">表面处理工艺流程</t>
  </si>
  <si>
    <t xml:space="preserve">颜色名称</t>
  </si>
  <si>
    <r>
      <rPr>
        <b val="true"/>
        <sz val="10"/>
        <color rgb="FFFFFFFF"/>
        <rFont val="微软雅黑"/>
        <family val="2"/>
      </rPr>
      <t xml:space="preserve">颜色标准
（色板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样件）</t>
    </r>
  </si>
  <si>
    <t xml:space="preserve">色差要求</t>
  </si>
  <si>
    <t xml:space="preserve">光泽要求</t>
  </si>
  <si>
    <t xml:space="preserve">质感描述
（目视效果）</t>
  </si>
  <si>
    <t xml:space="preserve">膜厚要求</t>
  </si>
  <si>
    <r>
      <rPr>
        <b val="true"/>
        <sz val="10"/>
        <color rgb="FFFFFFFF"/>
        <rFont val="微软雅黑"/>
        <family val="2"/>
      </rPr>
      <t xml:space="preserve">图文工艺及内容
（丝印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镭雕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移印）</t>
    </r>
  </si>
  <si>
    <t xml:space="preserve">测试要求
（编号见「测试要求」表）</t>
  </si>
  <si>
    <t xml:space="preserve">环保要求</t>
  </si>
  <si>
    <t xml:space="preserve">参考效果图
编号</t>
  </si>
  <si>
    <r>
      <rPr>
        <b val="true"/>
        <sz val="10"/>
        <color rgb="FFFFFFFF"/>
        <rFont val="微软雅黑"/>
        <family val="2"/>
      </rPr>
      <t xml:space="preserve">备注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待确认事项</t>
    </r>
  </si>
  <si>
    <t xml:space="preserve">依据
（见「资料来源」表）</t>
  </si>
  <si>
    <r>
      <rPr>
        <b val="true"/>
        <sz val="10"/>
        <color rgb="FFFFFFFF"/>
        <rFont val="微软雅黑"/>
        <family val="2"/>
      </rPr>
      <t xml:space="preserve">厂家意见：可行性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建议
（由厂家填写）</t>
    </r>
  </si>
  <si>
    <t xml:space="preserve">厂家意见：对价格的影响
（由厂家填写）</t>
  </si>
  <si>
    <t xml:space="preserve">机身外壳（主体）</t>
  </si>
  <si>
    <t xml:space="preserve">A</t>
  </si>
  <si>
    <t xml:space="preserve">PC/ABS</t>
  </si>
  <si>
    <r>
      <rPr>
        <sz val="10"/>
        <color rgb="FF1F4E9A"/>
        <rFont val="微软雅黑"/>
        <family val="2"/>
      </rPr>
      <t xml:space="preserve">示例：</t>
    </r>
    <r>
      <rPr>
        <sz val="10"/>
        <color rgb="FF1F4E9A"/>
        <rFont val="微软雅黑"/>
        <family val="0"/>
        <charset val="1"/>
      </rPr>
      <t xml:space="preserve">SABIC CYCOLOY C1200HF </t>
    </r>
    <r>
      <rPr>
        <sz val="10"/>
        <color rgb="FF1F4E9A"/>
        <rFont val="微软雅黑"/>
        <family val="2"/>
      </rPr>
      <t xml:space="preserve">或 科思创 </t>
    </r>
    <r>
      <rPr>
        <sz val="10"/>
        <color rgb="FF1F4E9A"/>
        <rFont val="微软雅黑"/>
        <family val="0"/>
        <charset val="1"/>
      </rPr>
      <t xml:space="preserve">Bayblend T85 XF</t>
    </r>
    <r>
      <rPr>
        <sz val="10"/>
        <color rgb="FF1F4E9A"/>
        <rFont val="微软雅黑"/>
        <family val="2"/>
      </rPr>
      <t xml:space="preserve">（同级可替代，以注塑厂、喷涂厂试样为准）</t>
    </r>
  </si>
  <si>
    <r>
      <rPr>
        <sz val="10"/>
        <color rgb="FF000000"/>
        <rFont val="微软雅黑"/>
        <family val="2"/>
      </rPr>
      <t xml:space="preserve">【待确认】两款示例牌号均为 </t>
    </r>
    <r>
      <rPr>
        <sz val="10"/>
        <color rgb="FF000000"/>
        <rFont val="微软雅黑"/>
        <family val="0"/>
        <charset val="1"/>
      </rPr>
      <t xml:space="preserve">UL94 HB</t>
    </r>
    <r>
      <rPr>
        <sz val="10"/>
        <color rgb="FF000000"/>
        <rFont val="微软雅黑"/>
        <family val="2"/>
      </rPr>
      <t xml:space="preserve">；如安规要求 </t>
    </r>
    <r>
      <rPr>
        <sz val="10"/>
        <color rgb="FF000000"/>
        <rFont val="微软雅黑"/>
        <family val="0"/>
        <charset val="1"/>
      </rPr>
      <t xml:space="preserve">V-0 / V-1</t>
    </r>
    <r>
      <rPr>
        <sz val="10"/>
        <color rgb="FF000000"/>
        <rFont val="微软雅黑"/>
        <family val="2"/>
      </rPr>
      <t xml:space="preserve">，需改用阻燃牌号</t>
    </r>
  </si>
  <si>
    <t xml:space="preserve">注塑</t>
  </si>
  <si>
    <r>
      <rPr>
        <sz val="10"/>
        <color rgb="FF1F4E9A"/>
        <rFont val="微软雅黑"/>
        <family val="2"/>
      </rPr>
      <t xml:space="preserve">细喷砂，或 </t>
    </r>
    <r>
      <rPr>
        <sz val="10"/>
        <color rgb="FF1F4E9A"/>
        <rFont val="微软雅黑"/>
        <family val="0"/>
        <charset val="1"/>
      </rPr>
      <t xml:space="preserve">VDI 3400 #24–#30</t>
    </r>
    <r>
      <rPr>
        <sz val="10"/>
        <color rgb="FF1F4E9A"/>
        <rFont val="微软雅黑"/>
        <family val="2"/>
      </rPr>
      <t xml:space="preserve">（</t>
    </r>
    <r>
      <rPr>
        <sz val="10"/>
        <color rgb="FF1F4E9A"/>
        <rFont val="微软雅黑"/>
        <family val="0"/>
        <charset val="1"/>
      </rPr>
      <t xml:space="preserve">Ra </t>
    </r>
    <r>
      <rPr>
        <sz val="10"/>
        <color rgb="FF1F4E9A"/>
        <rFont val="微软雅黑"/>
        <family val="2"/>
      </rPr>
      <t xml:space="preserve">约 </t>
    </r>
    <r>
      <rPr>
        <sz val="10"/>
        <color rgb="FF1F4E9A"/>
        <rFont val="微软雅黑"/>
        <family val="0"/>
        <charset val="1"/>
      </rPr>
      <t xml:space="preserve">1.60–3.15 μm</t>
    </r>
    <r>
      <rPr>
        <sz val="10"/>
        <color rgb="FF1F4E9A"/>
        <rFont val="微软雅黑"/>
        <family val="2"/>
      </rPr>
      <t xml:space="preserve">），打样选定。目的：喷涂后仍保留细磨砂质感</t>
    </r>
  </si>
  <si>
    <r>
      <rPr>
        <sz val="10"/>
        <color rgb="FF1F4E9A"/>
        <rFont val="微软雅黑"/>
        <family val="2"/>
      </rPr>
      <t xml:space="preserve">底漆 → 细银粉金属色漆 → 哑光面漆（</t>
    </r>
    <r>
      <rPr>
        <sz val="10"/>
        <color rgb="FF1F4E9A"/>
        <rFont val="微软雅黑"/>
        <family val="0"/>
        <charset val="1"/>
      </rPr>
      <t xml:space="preserve">PU </t>
    </r>
    <r>
      <rPr>
        <sz val="10"/>
        <color rgb="FF1F4E9A"/>
        <rFont val="微软雅黑"/>
        <family val="2"/>
      </rPr>
      <t xml:space="preserve">或 </t>
    </r>
    <r>
      <rPr>
        <sz val="10"/>
        <color rgb="FF1F4E9A"/>
        <rFont val="微软雅黑"/>
        <family val="0"/>
        <charset val="1"/>
      </rPr>
      <t xml:space="preserve">UV</t>
    </r>
    <r>
      <rPr>
        <sz val="10"/>
        <color rgb="FF1F4E9A"/>
        <rFont val="微软雅黑"/>
        <family val="2"/>
      </rPr>
      <t xml:space="preserve">，由喷涂厂按耐磨要求建议）</t>
    </r>
  </si>
  <si>
    <t xml:space="preserve">雾银</t>
  </si>
  <si>
    <t xml:space="preserve">以双方签字的实物色板为准。色板编号：【待填】</t>
  </si>
  <si>
    <r>
      <rPr>
        <sz val="10"/>
        <color rgb="FF1F4E9A"/>
        <rFont val="微软雅黑"/>
        <family val="2"/>
      </rPr>
      <t xml:space="preserve">金属漆用多角度色差仪测量（</t>
    </r>
    <r>
      <rPr>
        <sz val="10"/>
        <color rgb="FF1F4E9A"/>
        <rFont val="微软雅黑"/>
        <family val="0"/>
        <charset val="1"/>
      </rPr>
      <t xml:space="preserve">ASTM E2194</t>
    </r>
    <r>
      <rPr>
        <sz val="10"/>
        <color rgb="FF1F4E9A"/>
        <rFont val="微软雅黑"/>
        <family val="2"/>
      </rPr>
      <t xml:space="preserve">，常用 </t>
    </r>
    <r>
      <rPr>
        <sz val="10"/>
        <color rgb="FF1F4E9A"/>
        <rFont val="微软雅黑"/>
        <family val="0"/>
        <charset val="1"/>
      </rPr>
      <t xml:space="preserve">15° / 45° / 110°</t>
    </r>
    <r>
      <rPr>
        <sz val="10"/>
        <color rgb="FF1F4E9A"/>
        <rFont val="微软雅黑"/>
        <family val="2"/>
      </rPr>
      <t xml:space="preserve">），</t>
    </r>
    <r>
      <rPr>
        <sz val="10"/>
        <color rgb="FF1F4E9A"/>
        <rFont val="微软雅黑"/>
        <family val="0"/>
        <charset val="1"/>
      </rPr>
      <t xml:space="preserve">D65 </t>
    </r>
    <r>
      <rPr>
        <sz val="10"/>
        <color rgb="FF1F4E9A"/>
        <rFont val="微软雅黑"/>
        <family val="2"/>
      </rPr>
      <t xml:space="preserve">光源。建议起点：</t>
    </r>
    <r>
      <rPr>
        <sz val="10"/>
        <color rgb="FF1F4E9A"/>
        <rFont val="微软雅黑"/>
        <family val="0"/>
        <charset val="1"/>
      </rPr>
      <t xml:space="preserve">45° ΔE*ab ≤ 1.0–1.5</t>
    </r>
    <r>
      <rPr>
        <sz val="10"/>
        <color rgb="FF1F4E9A"/>
        <rFont val="微软雅黑"/>
        <family val="2"/>
      </rPr>
      <t xml:space="preserve">，其余角度双方约定（建议值，非国标）</t>
    </r>
  </si>
  <si>
    <r>
      <rPr>
        <sz val="10"/>
        <color rgb="FF1F4E9A"/>
        <rFont val="微软雅黑"/>
        <family val="2"/>
      </rPr>
      <t xml:space="preserve">哑光低光泽。目标值 </t>
    </r>
    <r>
      <rPr>
        <sz val="10"/>
        <color rgb="FF1F4E9A"/>
        <rFont val="微软雅黑"/>
        <family val="0"/>
        <charset val="1"/>
      </rPr>
      <t xml:space="preserve">= </t>
    </r>
    <r>
      <rPr>
        <sz val="10"/>
        <color rgb="FF1F4E9A"/>
        <rFont val="微软雅黑"/>
        <family val="2"/>
      </rPr>
      <t xml:space="preserve">签样板 </t>
    </r>
    <r>
      <rPr>
        <sz val="10"/>
        <color rgb="FF1F4E9A"/>
        <rFont val="微软雅黑"/>
        <family val="0"/>
        <charset val="1"/>
      </rPr>
      <t xml:space="preserve">60° </t>
    </r>
    <r>
      <rPr>
        <sz val="10"/>
        <color rgb="FF1F4E9A"/>
        <rFont val="微软雅黑"/>
        <family val="2"/>
      </rPr>
      <t xml:space="preserve">实测值 </t>
    </r>
    <r>
      <rPr>
        <sz val="10"/>
        <color rgb="FF1F4E9A"/>
        <rFont val="微软雅黑"/>
        <family val="0"/>
        <charset val="1"/>
      </rPr>
      <t xml:space="preserve">±</t>
    </r>
    <r>
      <rPr>
        <sz val="10"/>
        <color rgb="FF1F4E9A"/>
        <rFont val="微软雅黑"/>
        <family val="2"/>
      </rPr>
      <t xml:space="preserve">【待填】</t>
    </r>
    <r>
      <rPr>
        <sz val="10"/>
        <color rgb="FF1F4E9A"/>
        <rFont val="微软雅黑"/>
        <family val="0"/>
        <charset val="1"/>
      </rPr>
      <t xml:space="preserve">GU</t>
    </r>
    <r>
      <rPr>
        <sz val="10"/>
        <color rgb="FF1F4E9A"/>
        <rFont val="微软雅黑"/>
        <family val="2"/>
      </rPr>
      <t xml:space="preserve">（金属漆不在 </t>
    </r>
    <r>
      <rPr>
        <sz val="10"/>
        <color rgb="FF1F4E9A"/>
        <rFont val="微软雅黑"/>
        <family val="0"/>
        <charset val="1"/>
      </rPr>
      <t xml:space="preserve">GB/T 9754 </t>
    </r>
    <r>
      <rPr>
        <sz val="10"/>
        <color rgb="FF1F4E9A"/>
        <rFont val="微软雅黑"/>
        <family val="2"/>
      </rPr>
      <t xml:space="preserve">适用范围，读数只作同一台光泽仪的对比）</t>
    </r>
  </si>
  <si>
    <t xml:space="preserve">细磨砂颗粒均匀可见、不反光，有厚重感；颜色中性，不偏蓝、不偏黄</t>
  </si>
  <si>
    <r>
      <rPr>
        <sz val="10"/>
        <color rgb="FF1F4E9A"/>
        <rFont val="微软雅黑"/>
        <family val="2"/>
      </rPr>
      <t xml:space="preserve">涂层总厚度由喷涂厂按工艺给出并双方确认：【待填】</t>
    </r>
    <r>
      <rPr>
        <sz val="10"/>
        <color rgb="FF1F4E9A"/>
        <rFont val="微软雅黑"/>
        <family val="0"/>
        <charset val="1"/>
      </rPr>
      <t xml:space="preserve">μm</t>
    </r>
  </si>
  <si>
    <r>
      <rPr>
        <sz val="10"/>
        <color rgb="FF000000"/>
        <rFont val="微软雅黑"/>
        <family val="2"/>
      </rPr>
      <t xml:space="preserve">【待填】有 </t>
    </r>
    <r>
      <rPr>
        <sz val="10"/>
        <color rgb="FF000000"/>
        <rFont val="微软雅黑"/>
        <family val="0"/>
        <charset val="1"/>
      </rPr>
      <t xml:space="preserve">Logo / </t>
    </r>
    <r>
      <rPr>
        <sz val="10"/>
        <color rgb="FF000000"/>
        <rFont val="微软雅黑"/>
        <family val="2"/>
      </rPr>
      <t xml:space="preserve">文字时写：工艺、内容、颜色、位置；没有写「无」</t>
    </r>
  </si>
  <si>
    <r>
      <rPr>
        <sz val="10"/>
        <color rgb="FF1F4E9A"/>
        <rFont val="微软雅黑"/>
        <family val="0"/>
        <charset val="1"/>
      </rPr>
      <t xml:space="preserve">T01 </t>
    </r>
    <r>
      <rPr>
        <sz val="10"/>
        <color rgb="FF1F4E9A"/>
        <rFont val="微软雅黑"/>
        <family val="2"/>
      </rPr>
      <t xml:space="preserve">附着力、</t>
    </r>
    <r>
      <rPr>
        <sz val="10"/>
        <color rgb="FF1F4E9A"/>
        <rFont val="微软雅黑"/>
        <family val="0"/>
        <charset val="1"/>
      </rPr>
      <t xml:space="preserve">T02 </t>
    </r>
    <r>
      <rPr>
        <sz val="10"/>
        <color rgb="FF1F4E9A"/>
        <rFont val="微软雅黑"/>
        <family val="2"/>
      </rPr>
      <t xml:space="preserve">铅笔硬度、</t>
    </r>
    <r>
      <rPr>
        <sz val="10"/>
        <color rgb="FF1F4E9A"/>
        <rFont val="微软雅黑"/>
        <family val="0"/>
        <charset val="1"/>
      </rPr>
      <t xml:space="preserve">T03 RCA </t>
    </r>
    <r>
      <rPr>
        <sz val="10"/>
        <color rgb="FF1F4E9A"/>
        <rFont val="微软雅黑"/>
        <family val="2"/>
      </rPr>
      <t xml:space="preserve">耐磨、</t>
    </r>
    <r>
      <rPr>
        <sz val="10"/>
        <color rgb="FF1F4E9A"/>
        <rFont val="微软雅黑"/>
        <family val="0"/>
        <charset val="1"/>
      </rPr>
      <t xml:space="preserve">T04 </t>
    </r>
    <r>
      <rPr>
        <sz val="10"/>
        <color rgb="FF1F4E9A"/>
        <rFont val="微软雅黑"/>
        <family val="2"/>
      </rPr>
      <t xml:space="preserve">耐酒精、</t>
    </r>
    <r>
      <rPr>
        <sz val="10"/>
        <color rgb="FF1F4E9A"/>
        <rFont val="微软雅黑"/>
        <family val="0"/>
        <charset val="1"/>
      </rPr>
      <t xml:space="preserve">T05 </t>
    </r>
    <r>
      <rPr>
        <sz val="10"/>
        <color rgb="FF1F4E9A"/>
        <rFont val="微软雅黑"/>
        <family val="2"/>
      </rPr>
      <t xml:space="preserve">湿热后附着力、</t>
    </r>
    <r>
      <rPr>
        <sz val="10"/>
        <color rgb="FF1F4E9A"/>
        <rFont val="微软雅黑"/>
        <family val="0"/>
        <charset val="1"/>
      </rPr>
      <t xml:space="preserve">T07 </t>
    </r>
    <r>
      <rPr>
        <sz val="10"/>
        <color rgb="FF1F4E9A"/>
        <rFont val="微软雅黑"/>
        <family val="2"/>
      </rPr>
      <t xml:space="preserve">颜色、</t>
    </r>
    <r>
      <rPr>
        <sz val="10"/>
        <color rgb="FF1F4E9A"/>
        <rFont val="微软雅黑"/>
        <family val="0"/>
        <charset val="1"/>
      </rPr>
      <t xml:space="preserve">T13 </t>
    </r>
    <r>
      <rPr>
        <sz val="10"/>
        <color rgb="FF1F4E9A"/>
        <rFont val="微软雅黑"/>
        <family val="2"/>
      </rPr>
      <t xml:space="preserve">光泽、</t>
    </r>
    <r>
      <rPr>
        <sz val="10"/>
        <color rgb="FF1F4E9A"/>
        <rFont val="微软雅黑"/>
        <family val="0"/>
        <charset val="1"/>
      </rPr>
      <t xml:space="preserve">T14 </t>
    </r>
    <r>
      <rPr>
        <sz val="10"/>
        <color rgb="FF1F4E9A"/>
        <rFont val="微软雅黑"/>
        <family val="2"/>
      </rPr>
      <t xml:space="preserve">外观</t>
    </r>
  </si>
  <si>
    <r>
      <rPr>
        <sz val="10"/>
        <color rgb="FF1F4E9A"/>
        <rFont val="微软雅黑"/>
        <family val="2"/>
      </rPr>
      <t xml:space="preserve">符合中国 </t>
    </r>
    <r>
      <rPr>
        <sz val="10"/>
        <color rgb="FF1F4E9A"/>
        <rFont val="微软雅黑"/>
        <family val="0"/>
        <charset val="1"/>
      </rPr>
      <t xml:space="preserve">RoHS</t>
    </r>
    <r>
      <rPr>
        <sz val="10"/>
        <color rgb="FF1F4E9A"/>
        <rFont val="微软雅黑"/>
        <family val="2"/>
      </rPr>
      <t xml:space="preserve">（</t>
    </r>
    <r>
      <rPr>
        <sz val="10"/>
        <color rgb="FF1F4E9A"/>
        <rFont val="微软雅黑"/>
        <family val="0"/>
        <charset val="1"/>
      </rPr>
      <t xml:space="preserve">GB/T 26572</t>
    </r>
    <r>
      <rPr>
        <sz val="10"/>
        <color rgb="FF1F4E9A"/>
        <rFont val="微软雅黑"/>
        <family val="2"/>
      </rPr>
      <t xml:space="preserve">）；出口欧盟另需符合 </t>
    </r>
    <r>
      <rPr>
        <sz val="10"/>
        <color rgb="FF1F4E9A"/>
        <rFont val="微软雅黑"/>
        <family val="0"/>
        <charset val="1"/>
      </rPr>
      <t xml:space="preserve">EU RoHS</t>
    </r>
    <r>
      <rPr>
        <sz val="10"/>
        <color rgb="FF1F4E9A"/>
        <rFont val="微软雅黑"/>
        <family val="2"/>
      </rPr>
      <t xml:space="preserve">（</t>
    </r>
    <r>
      <rPr>
        <sz val="10"/>
        <color rgb="FF1F4E9A"/>
        <rFont val="微软雅黑"/>
        <family val="0"/>
        <charset val="1"/>
      </rPr>
      <t xml:space="preserve">2011/65/EU </t>
    </r>
    <r>
      <rPr>
        <sz val="10"/>
        <color rgb="FF1F4E9A"/>
        <rFont val="微软雅黑"/>
        <family val="2"/>
      </rPr>
      <t xml:space="preserve">及 </t>
    </r>
    <r>
      <rPr>
        <sz val="10"/>
        <color rgb="FF1F4E9A"/>
        <rFont val="微软雅黑"/>
        <family val="0"/>
        <charset val="1"/>
      </rPr>
      <t xml:space="preserve">(EU) 2015/863</t>
    </r>
    <r>
      <rPr>
        <sz val="10"/>
        <color rgb="FF1F4E9A"/>
        <rFont val="微软雅黑"/>
        <family val="2"/>
      </rPr>
      <t xml:space="preserve">）</t>
    </r>
  </si>
  <si>
    <r>
      <rPr>
        <sz val="10"/>
        <color rgb="FF1F4E9A"/>
        <rFont val="微软雅黑"/>
        <family val="2"/>
      </rPr>
      <t xml:space="preserve">① 喷涂后纹理能保留多少，需喷涂厂打样确认；② 选喷涂厂时确认对方有：无尘喷涂车间、自动喷涂线、</t>
    </r>
    <r>
      <rPr>
        <sz val="10"/>
        <color rgb="FF1F4E9A"/>
        <rFont val="微软雅黑"/>
        <family val="0"/>
        <charset val="1"/>
      </rPr>
      <t xml:space="preserve">UV </t>
    </r>
    <r>
      <rPr>
        <sz val="10"/>
        <color rgb="FF1F4E9A"/>
        <rFont val="微软雅黑"/>
        <family val="2"/>
      </rPr>
      <t xml:space="preserve">固化线、多角度色差仪</t>
    </r>
  </si>
  <si>
    <r>
      <rPr>
        <sz val="9"/>
        <color rgb="FF595959"/>
        <rFont val="微软雅黑"/>
        <family val="0"/>
        <charset val="1"/>
      </rPr>
      <t xml:space="preserve">S01–S10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S18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S24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S25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S27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S33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S34</t>
    </r>
  </si>
  <si>
    <t xml:space="preserve">顶部出风栅栏模块</t>
  </si>
  <si>
    <t xml:space="preserve">铝合金</t>
  </si>
  <si>
    <r>
      <rPr>
        <sz val="10"/>
        <color rgb="FF1F4E9A"/>
        <rFont val="微软雅黑"/>
        <family val="0"/>
        <charset val="1"/>
      </rPr>
      <t xml:space="preserve">6063 </t>
    </r>
    <r>
      <rPr>
        <sz val="10"/>
        <color rgb="FF1F4E9A"/>
        <rFont val="微软雅黑"/>
        <family val="2"/>
      </rPr>
      <t xml:space="preserve">或 </t>
    </r>
    <r>
      <rPr>
        <sz val="10"/>
        <color rgb="FF1F4E9A"/>
        <rFont val="微软雅黑"/>
        <family val="0"/>
        <charset val="1"/>
      </rPr>
      <t xml:space="preserve">6061</t>
    </r>
    <r>
      <rPr>
        <sz val="10"/>
        <color rgb="FF1F4E9A"/>
        <rFont val="微软雅黑"/>
        <family val="2"/>
      </rPr>
      <t xml:space="preserve">，须与底部增高圈用同一牌号。不建议 </t>
    </r>
    <r>
      <rPr>
        <sz val="10"/>
        <color rgb="FF1F4E9A"/>
        <rFont val="微软雅黑"/>
        <family val="0"/>
        <charset val="1"/>
      </rPr>
      <t xml:space="preserve">5052</t>
    </r>
    <r>
      <rPr>
        <sz val="10"/>
        <color rgb="FF1F4E9A"/>
        <rFont val="微软雅黑"/>
        <family val="2"/>
      </rPr>
      <t xml:space="preserve">（资料指出 </t>
    </r>
    <r>
      <rPr>
        <sz val="10"/>
        <color rgb="FF1F4E9A"/>
        <rFont val="微软雅黑"/>
        <family val="0"/>
        <charset val="1"/>
      </rPr>
      <t xml:space="preserve">5052 </t>
    </r>
    <r>
      <rPr>
        <sz val="10"/>
        <color rgb="FF1F4E9A"/>
        <rFont val="微软雅黑"/>
        <family val="2"/>
      </rPr>
      <t xml:space="preserve">阳极后偏黄，难与 </t>
    </r>
    <r>
      <rPr>
        <sz val="10"/>
        <color rgb="FF1F4E9A"/>
        <rFont val="微软雅黑"/>
        <family val="0"/>
        <charset val="1"/>
      </rPr>
      <t xml:space="preserve">6 </t>
    </r>
    <r>
      <rPr>
        <sz val="10"/>
        <color rgb="FF1F4E9A"/>
        <rFont val="微软雅黑"/>
        <family val="2"/>
      </rPr>
      <t xml:space="preserve">系件配色）</t>
    </r>
  </si>
  <si>
    <t xml:space="preserve">不适用（金属件）</t>
  </si>
  <si>
    <r>
      <rPr>
        <sz val="10"/>
        <color rgb="FF1F4E9A"/>
        <rFont val="微软雅黑"/>
        <family val="0"/>
        <charset val="1"/>
      </rPr>
      <t xml:space="preserve">CNC </t>
    </r>
    <r>
      <rPr>
        <sz val="10"/>
        <color rgb="FF1F4E9A"/>
        <rFont val="微软雅黑"/>
        <family val="2"/>
      </rPr>
      <t xml:space="preserve">加工（如改用冲压，先和阳极厂确认板材牌号能否与底部增高圈配色）</t>
    </r>
  </si>
  <si>
    <t xml:space="preserve">抛光至高光（不喷砂、不拉丝）；抛光方式由阳极厂按栅格结构建议</t>
  </si>
  <si>
    <t xml:space="preserve">抛光 → 阳极氧化 → 染色（玫瑰金）→ 封孔</t>
  </si>
  <si>
    <t xml:space="preserve">玫瑰金（高光）</t>
  </si>
  <si>
    <r>
      <rPr>
        <sz val="10"/>
        <color rgb="FF1F4E9A"/>
        <rFont val="微软雅黑"/>
        <family val="2"/>
      </rPr>
      <t xml:space="preserve">签样色板 </t>
    </r>
    <r>
      <rPr>
        <sz val="10"/>
        <color rgb="FF1F4E9A"/>
        <rFont val="微软雅黑"/>
        <family val="0"/>
        <charset val="1"/>
      </rPr>
      <t xml:space="preserve">+ </t>
    </r>
    <r>
      <rPr>
        <sz val="10"/>
        <color rgb="FF1F4E9A"/>
        <rFont val="微软雅黑"/>
        <family val="2"/>
      </rPr>
      <t xml:space="preserve">深、浅两块限度样。色板编号：【待填】</t>
    </r>
  </si>
  <si>
    <r>
      <rPr>
        <sz val="10"/>
        <color rgb="FF1F4E9A"/>
        <rFont val="微软雅黑"/>
        <family val="2"/>
      </rPr>
      <t xml:space="preserve">颜色落在深、浅限度样之间为合格；按 </t>
    </r>
    <r>
      <rPr>
        <sz val="10"/>
        <color rgb="FF1F4E9A"/>
        <rFont val="微软雅黑"/>
        <family val="0"/>
        <charset val="1"/>
      </rPr>
      <t xml:space="preserve">GB/T 12967.6-2022 </t>
    </r>
    <r>
      <rPr>
        <sz val="10"/>
        <color rgb="FF1F4E9A"/>
        <rFont val="微软雅黑"/>
        <family val="2"/>
      </rPr>
      <t xml:space="preserve">检查颜色和外观；仪器 </t>
    </r>
    <r>
      <rPr>
        <sz val="10"/>
        <color rgb="FF1F4E9A"/>
        <rFont val="微软雅黑"/>
        <family val="0"/>
        <charset val="1"/>
      </rPr>
      <t xml:space="preserve">ΔE </t>
    </r>
    <r>
      <rPr>
        <sz val="10"/>
        <color rgb="FF1F4E9A"/>
        <rFont val="微软雅黑"/>
        <family val="2"/>
      </rPr>
      <t xml:space="preserve">限值双方约定</t>
    </r>
  </si>
  <si>
    <t xml:space="preserve">高光金属光泽，目视对比签样板</t>
  </si>
  <si>
    <t xml:space="preserve">金属质感强、反光干净；柔和的香槟粉金调，不偏橙铜色、不偏艳粉；起点缀作用</t>
  </si>
  <si>
    <r>
      <rPr>
        <sz val="10"/>
        <color rgb="FF1F4E9A"/>
        <rFont val="微软雅黑"/>
        <family val="2"/>
      </rPr>
      <t xml:space="preserve">膜厚级别 </t>
    </r>
    <r>
      <rPr>
        <sz val="10"/>
        <color rgb="FF1F4E9A"/>
        <rFont val="微软雅黑"/>
        <family val="0"/>
        <charset val="1"/>
      </rPr>
      <t xml:space="preserve">AA10</t>
    </r>
    <r>
      <rPr>
        <sz val="10"/>
        <color rgb="FF1F4E9A"/>
        <rFont val="微软雅黑"/>
        <family val="2"/>
      </rPr>
      <t xml:space="preserve">：平均膜厚 ≥ </t>
    </r>
    <r>
      <rPr>
        <sz val="10"/>
        <color rgb="FF1F4E9A"/>
        <rFont val="微软雅黑"/>
        <family val="0"/>
        <charset val="1"/>
      </rPr>
      <t xml:space="preserve">10 μm</t>
    </r>
    <r>
      <rPr>
        <sz val="10"/>
        <color rgb="FF1F4E9A"/>
        <rFont val="微软雅黑"/>
        <family val="2"/>
      </rPr>
      <t xml:space="preserve">（</t>
    </r>
    <r>
      <rPr>
        <sz val="10"/>
        <color rgb="FF1F4E9A"/>
        <rFont val="微软雅黑"/>
        <family val="0"/>
        <charset val="1"/>
      </rPr>
      <t xml:space="preserve">GB/T 8013.1-2018</t>
    </r>
    <r>
      <rPr>
        <sz val="10"/>
        <color rgb="FF1F4E9A"/>
        <rFont val="微软雅黑"/>
        <family val="2"/>
      </rPr>
      <t xml:space="preserve">，</t>
    </r>
    <r>
      <rPr>
        <sz val="10"/>
        <color rgb="FF1F4E9A"/>
        <rFont val="微软雅黑"/>
        <family val="0"/>
        <charset val="1"/>
      </rPr>
      <t xml:space="preserve">AA </t>
    </r>
    <r>
      <rPr>
        <sz val="10"/>
        <color rgb="FF1F4E9A"/>
        <rFont val="微软雅黑"/>
        <family val="2"/>
      </rPr>
      <t xml:space="preserve">后数字为最小平均膜厚）；涡流法测量（</t>
    </r>
    <r>
      <rPr>
        <sz val="10"/>
        <color rgb="FF1F4E9A"/>
        <rFont val="微软雅黑"/>
        <family val="0"/>
        <charset val="1"/>
      </rPr>
      <t xml:space="preserve">GB/T 4957-2003</t>
    </r>
    <r>
      <rPr>
        <sz val="10"/>
        <color rgb="FF1F4E9A"/>
        <rFont val="微软雅黑"/>
        <family val="2"/>
      </rPr>
      <t xml:space="preserve">）</t>
    </r>
  </si>
  <si>
    <t xml:space="preserve">无</t>
  </si>
  <si>
    <r>
      <rPr>
        <sz val="10"/>
        <color rgb="FF1F4E9A"/>
        <rFont val="微软雅黑"/>
        <family val="0"/>
        <charset val="1"/>
      </rPr>
      <t xml:space="preserve">T07 </t>
    </r>
    <r>
      <rPr>
        <sz val="10"/>
        <color rgb="FF1F4E9A"/>
        <rFont val="微软雅黑"/>
        <family val="2"/>
      </rPr>
      <t xml:space="preserve">颜色、</t>
    </r>
    <r>
      <rPr>
        <sz val="10"/>
        <color rgb="FF1F4E9A"/>
        <rFont val="微软雅黑"/>
        <family val="0"/>
        <charset val="1"/>
      </rPr>
      <t xml:space="preserve">T08 </t>
    </r>
    <r>
      <rPr>
        <sz val="10"/>
        <color rgb="FF1F4E9A"/>
        <rFont val="微软雅黑"/>
        <family val="2"/>
      </rPr>
      <t xml:space="preserve">膜厚、</t>
    </r>
    <r>
      <rPr>
        <sz val="10"/>
        <color rgb="FF1F4E9A"/>
        <rFont val="微软雅黑"/>
        <family val="0"/>
        <charset val="1"/>
      </rPr>
      <t xml:space="preserve">T09 </t>
    </r>
    <r>
      <rPr>
        <sz val="10"/>
        <color rgb="FF1F4E9A"/>
        <rFont val="微软雅黑"/>
        <family val="2"/>
      </rPr>
      <t xml:space="preserve">封孔、</t>
    </r>
    <r>
      <rPr>
        <sz val="10"/>
        <color rgb="FF1F4E9A"/>
        <rFont val="微软雅黑"/>
        <family val="0"/>
        <charset val="1"/>
      </rPr>
      <t xml:space="preserve">T10 </t>
    </r>
    <r>
      <rPr>
        <sz val="10"/>
        <color rgb="FF1F4E9A"/>
        <rFont val="微软雅黑"/>
        <family val="2"/>
      </rPr>
      <t xml:space="preserve">颜色和外观、</t>
    </r>
    <r>
      <rPr>
        <sz val="10"/>
        <color rgb="FF1F4E9A"/>
        <rFont val="微软雅黑"/>
        <family val="0"/>
        <charset val="1"/>
      </rPr>
      <t xml:space="preserve">T11 </t>
    </r>
    <r>
      <rPr>
        <sz val="10"/>
        <color rgb="FF1F4E9A"/>
        <rFont val="微软雅黑"/>
        <family val="2"/>
      </rPr>
      <t xml:space="preserve">盐雾、</t>
    </r>
    <r>
      <rPr>
        <sz val="10"/>
        <color rgb="FF1F4E9A"/>
        <rFont val="微软雅黑"/>
        <family val="0"/>
        <charset val="1"/>
      </rPr>
      <t xml:space="preserve">T14 </t>
    </r>
    <r>
      <rPr>
        <sz val="10"/>
        <color rgb="FF1F4E9A"/>
        <rFont val="微软雅黑"/>
        <family val="2"/>
      </rPr>
      <t xml:space="preserve">外观</t>
    </r>
  </si>
  <si>
    <r>
      <rPr>
        <sz val="10"/>
        <color rgb="FF1F4E9A"/>
        <rFont val="微软雅黑"/>
        <family val="2"/>
      </rPr>
      <t xml:space="preserve">同序号 </t>
    </r>
    <r>
      <rPr>
        <sz val="10"/>
        <color rgb="FF1F4E9A"/>
        <rFont val="微软雅黑"/>
        <family val="0"/>
        <charset val="1"/>
      </rPr>
      <t xml:space="preserve">1</t>
    </r>
  </si>
  <si>
    <t xml:space="preserve">① 和底部增高圈同牌号、同槽同批阳极，一起签色板；② 高光面易留指纹和划痕，出货贴保护膜；③ 栅格孔多，抛光可行性请阳极厂评估</t>
  </si>
  <si>
    <r>
      <rPr>
        <sz val="9"/>
        <color rgb="FF595959"/>
        <rFont val="微软雅黑"/>
        <family val="0"/>
        <charset val="1"/>
      </rPr>
      <t xml:space="preserve">S11–S16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S30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S31</t>
    </r>
  </si>
  <si>
    <t xml:space="preserve">底部突出增高圈</t>
  </si>
  <si>
    <r>
      <rPr>
        <sz val="10"/>
        <color rgb="FF1F4E9A"/>
        <rFont val="微软雅黑"/>
        <family val="2"/>
      </rPr>
      <t xml:space="preserve">与顶部栅栏同一牌号（建议 </t>
    </r>
    <r>
      <rPr>
        <sz val="10"/>
        <color rgb="FF1F4E9A"/>
        <rFont val="微软雅黑"/>
        <family val="0"/>
        <charset val="1"/>
      </rPr>
      <t xml:space="preserve">6063 </t>
    </r>
    <r>
      <rPr>
        <sz val="10"/>
        <color rgb="FF1F4E9A"/>
        <rFont val="微软雅黑"/>
        <family val="2"/>
      </rPr>
      <t xml:space="preserve">管材或型材）</t>
    </r>
  </si>
  <si>
    <r>
      <rPr>
        <sz val="10"/>
        <color rgb="FF1F4E9A"/>
        <rFont val="微软雅黑"/>
        <family val="2"/>
      </rPr>
      <t xml:space="preserve">挤压型材 </t>
    </r>
    <r>
      <rPr>
        <sz val="10"/>
        <color rgb="FF1F4E9A"/>
        <rFont val="微软雅黑"/>
        <family val="0"/>
        <charset val="1"/>
      </rPr>
      <t xml:space="preserve">/ </t>
    </r>
    <r>
      <rPr>
        <sz val="10"/>
        <color rgb="FF1F4E9A"/>
        <rFont val="微软雅黑"/>
        <family val="2"/>
      </rPr>
      <t xml:space="preserve">管材 </t>
    </r>
    <r>
      <rPr>
        <sz val="10"/>
        <color rgb="FF1F4E9A"/>
        <rFont val="微软雅黑"/>
        <family val="0"/>
        <charset val="1"/>
      </rPr>
      <t xml:space="preserve">+ CNC </t>
    </r>
    <r>
      <rPr>
        <sz val="10"/>
        <color rgb="FF1F4E9A"/>
        <rFont val="微软雅黑"/>
        <family val="2"/>
      </rPr>
      <t xml:space="preserve">车削</t>
    </r>
  </si>
  <si>
    <t xml:space="preserve">抛光至高光（不喷砂、不拉丝）</t>
  </si>
  <si>
    <r>
      <rPr>
        <sz val="10"/>
        <color rgb="FF1F4E9A"/>
        <rFont val="微软雅黑"/>
        <family val="2"/>
      </rPr>
      <t xml:space="preserve">与序号 </t>
    </r>
    <r>
      <rPr>
        <sz val="10"/>
        <color rgb="FF1F4E9A"/>
        <rFont val="微软雅黑"/>
        <family val="0"/>
        <charset val="1"/>
      </rPr>
      <t xml:space="preserve">2 </t>
    </r>
    <r>
      <rPr>
        <sz val="10"/>
        <color rgb="FF1F4E9A"/>
        <rFont val="微软雅黑"/>
        <family val="2"/>
      </rPr>
      <t xml:space="preserve">共用签样色板和限度样</t>
    </r>
  </si>
  <si>
    <r>
      <rPr>
        <sz val="10"/>
        <color rgb="FF1F4E9A"/>
        <rFont val="微软雅黑"/>
        <family val="2"/>
      </rPr>
      <t xml:space="preserve">与序号 </t>
    </r>
    <r>
      <rPr>
        <sz val="10"/>
        <color rgb="FF1F4E9A"/>
        <rFont val="微软雅黑"/>
        <family val="0"/>
        <charset val="1"/>
      </rPr>
      <t xml:space="preserve">2 </t>
    </r>
    <r>
      <rPr>
        <sz val="10"/>
        <color rgb="FF1F4E9A"/>
        <rFont val="微软雅黑"/>
        <family val="2"/>
      </rPr>
      <t xml:space="preserve">相同；两件放在一起对比，不能有可见色差</t>
    </r>
  </si>
  <si>
    <r>
      <rPr>
        <sz val="10"/>
        <color rgb="FF1F4E9A"/>
        <rFont val="微软雅黑"/>
        <family val="2"/>
      </rPr>
      <t xml:space="preserve">与序号 </t>
    </r>
    <r>
      <rPr>
        <sz val="10"/>
        <color rgb="FF1F4E9A"/>
        <rFont val="微软雅黑"/>
        <family val="0"/>
        <charset val="1"/>
      </rPr>
      <t xml:space="preserve">2 </t>
    </r>
    <r>
      <rPr>
        <sz val="10"/>
        <color rgb="FF1F4E9A"/>
        <rFont val="微软雅黑"/>
        <family val="2"/>
      </rPr>
      <t xml:space="preserve">相同</t>
    </r>
  </si>
  <si>
    <r>
      <rPr>
        <sz val="10"/>
        <color rgb="FF1F4E9A"/>
        <rFont val="微软雅黑"/>
        <family val="0"/>
        <charset val="1"/>
      </rPr>
      <t xml:space="preserve">AA10</t>
    </r>
    <r>
      <rPr>
        <sz val="10"/>
        <color rgb="FF1F4E9A"/>
        <rFont val="微软雅黑"/>
        <family val="2"/>
      </rPr>
      <t xml:space="preserve">（同序号 </t>
    </r>
    <r>
      <rPr>
        <sz val="10"/>
        <color rgb="FF1F4E9A"/>
        <rFont val="微软雅黑"/>
        <family val="0"/>
        <charset val="1"/>
      </rPr>
      <t xml:space="preserve">2</t>
    </r>
    <r>
      <rPr>
        <sz val="10"/>
        <color rgb="FF1F4E9A"/>
        <rFont val="微软雅黑"/>
        <family val="2"/>
      </rPr>
      <t xml:space="preserve">）</t>
    </r>
  </si>
  <si>
    <r>
      <rPr>
        <sz val="10"/>
        <color rgb="FF1F4E9A"/>
        <rFont val="微软雅黑"/>
        <family val="2"/>
      </rPr>
      <t xml:space="preserve">同序号 </t>
    </r>
    <r>
      <rPr>
        <sz val="10"/>
        <color rgb="FF1F4E9A"/>
        <rFont val="微软雅黑"/>
        <family val="0"/>
        <charset val="1"/>
      </rPr>
      <t xml:space="preserve">2</t>
    </r>
  </si>
  <si>
    <t xml:space="preserve">① 与顶部栅栏同牌号、同槽同批阳极，否则两件颜色会不一致；② 底面防滑本阶段不考虑（设计方已确认）</t>
  </si>
  <si>
    <t xml:space="preserve">中间灯圈外壳（半透明）</t>
  </si>
  <si>
    <r>
      <rPr>
        <sz val="10"/>
        <color rgb="FF1F4E9A"/>
        <rFont val="微软雅黑"/>
        <family val="0"/>
        <charset val="1"/>
      </rPr>
      <t xml:space="preserve">PC</t>
    </r>
    <r>
      <rPr>
        <sz val="10"/>
        <color rgb="FF1F4E9A"/>
        <rFont val="微软雅黑"/>
        <family val="2"/>
      </rPr>
      <t xml:space="preserve">（光扩散级）</t>
    </r>
  </si>
  <si>
    <r>
      <rPr>
        <sz val="10"/>
        <color rgb="FF1F4E9A"/>
        <rFont val="微软雅黑"/>
        <family val="2"/>
      </rPr>
      <t xml:space="preserve">示例：科思创 </t>
    </r>
    <r>
      <rPr>
        <sz val="10"/>
        <color rgb="FF1F4E9A"/>
        <rFont val="微软雅黑"/>
        <family val="0"/>
        <charset val="1"/>
      </rPr>
      <t xml:space="preserve">Makrolon DQ </t>
    </r>
    <r>
      <rPr>
        <sz val="10"/>
        <color rgb="FF1F4E9A"/>
        <rFont val="微软雅黑"/>
        <family val="2"/>
      </rPr>
      <t xml:space="preserve">系列扩散级 </t>
    </r>
    <r>
      <rPr>
        <sz val="10"/>
        <color rgb="FF1F4E9A"/>
        <rFont val="微软雅黑"/>
        <family val="0"/>
        <charset val="1"/>
      </rPr>
      <t xml:space="preserve">PC</t>
    </r>
    <r>
      <rPr>
        <sz val="10"/>
        <color rgb="FF1F4E9A"/>
        <rFont val="微软雅黑"/>
        <family val="2"/>
      </rPr>
      <t xml:space="preserve">；或透明 </t>
    </r>
    <r>
      <rPr>
        <sz val="10"/>
        <color rgb="FF1F4E9A"/>
        <rFont val="微软雅黑"/>
        <family val="0"/>
        <charset val="1"/>
      </rPr>
      <t xml:space="preserve">PC + </t>
    </r>
    <r>
      <rPr>
        <sz val="10"/>
        <color rgb="FF1F4E9A"/>
        <rFont val="微软雅黑"/>
        <family val="2"/>
      </rPr>
      <t xml:space="preserve">模具表面雾化。以点亮样件的效果选定</t>
    </r>
  </si>
  <si>
    <t xml:space="preserve">【待确认】按安规要求</t>
  </si>
  <si>
    <t xml:space="preserve">内、外表面细喷砂或细纹（编号打样选定），形成磨砂雾面</t>
  </si>
  <si>
    <t xml:space="preserve">无（本色，不喷涂）</t>
  </si>
  <si>
    <t xml:space="preserve">乳白半透明</t>
  </si>
  <si>
    <t xml:space="preserve">灯灭、灯亮两种状态各签一次样。样件编号：【待填】</t>
  </si>
  <si>
    <t xml:space="preserve">以签样件为准，目视对比（灯灭和灯亮都要对比）</t>
  </si>
  <si>
    <t xml:space="preserve">磨砂雾面，目视对比签样件</t>
  </si>
  <si>
    <t xml:space="preserve">柔和磨砂，有氛围感；点亮后整圈亮度均匀，看不到灯珠亮点和暗区</t>
  </si>
  <si>
    <t xml:space="preserve">不适用</t>
  </si>
  <si>
    <r>
      <rPr>
        <sz val="10"/>
        <color rgb="FF1F4E9A"/>
        <rFont val="微软雅黑"/>
        <family val="0"/>
        <charset val="1"/>
      </rPr>
      <t xml:space="preserve">T07 </t>
    </r>
    <r>
      <rPr>
        <sz val="10"/>
        <color rgb="FF1F4E9A"/>
        <rFont val="微软雅黑"/>
        <family val="2"/>
      </rPr>
      <t xml:space="preserve">颜色、</t>
    </r>
    <r>
      <rPr>
        <sz val="10"/>
        <color rgb="FF1F4E9A"/>
        <rFont val="微软雅黑"/>
        <family val="0"/>
        <charset val="1"/>
      </rPr>
      <t xml:space="preserve">T12 </t>
    </r>
    <r>
      <rPr>
        <sz val="10"/>
        <color rgb="FF1F4E9A"/>
        <rFont val="微软雅黑"/>
        <family val="2"/>
      </rPr>
      <t xml:space="preserve">透光率和雾度、</t>
    </r>
    <r>
      <rPr>
        <sz val="10"/>
        <color rgb="FF1F4E9A"/>
        <rFont val="微软雅黑"/>
        <family val="0"/>
        <charset val="1"/>
      </rPr>
      <t xml:space="preserve">T14 </t>
    </r>
    <r>
      <rPr>
        <sz val="10"/>
        <color rgb="FF1F4E9A"/>
        <rFont val="微软雅黑"/>
        <family val="2"/>
      </rPr>
      <t xml:space="preserve">外观</t>
    </r>
  </si>
  <si>
    <r>
      <rPr>
        <sz val="10"/>
        <color rgb="FF1F4E9A"/>
        <rFont val="微软雅黑"/>
        <family val="2"/>
      </rPr>
      <t xml:space="preserve">透光率和雾度与壁厚有关，要用实际壁厚的样件测。目标值打样后写入：透光率【待填】</t>
    </r>
    <r>
      <rPr>
        <sz val="10"/>
        <color rgb="FF1F4E9A"/>
        <rFont val="微软雅黑"/>
        <family val="0"/>
        <charset val="1"/>
      </rPr>
      <t xml:space="preserve">%</t>
    </r>
    <r>
      <rPr>
        <sz val="10"/>
        <color rgb="FF1F4E9A"/>
        <rFont val="微软雅黑"/>
        <family val="2"/>
      </rPr>
      <t xml:space="preserve">，雾度【待填】</t>
    </r>
    <r>
      <rPr>
        <sz val="10"/>
        <color rgb="FF1F4E9A"/>
        <rFont val="微软雅黑"/>
        <family val="0"/>
        <charset val="1"/>
      </rPr>
      <t xml:space="preserve">%</t>
    </r>
  </si>
  <si>
    <r>
      <rPr>
        <sz val="9"/>
        <color rgb="FF595959"/>
        <rFont val="微软雅黑"/>
        <family val="0"/>
        <charset val="1"/>
      </rPr>
      <t xml:space="preserve">S17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S35</t>
    </r>
  </si>
  <si>
    <t xml:space="preserve">灯（暖黄光源）</t>
  </si>
  <si>
    <t xml:space="preserve">—</t>
  </si>
  <si>
    <r>
      <rPr>
        <sz val="10"/>
        <color rgb="FF1F4E9A"/>
        <rFont val="微软雅黑"/>
        <family val="0"/>
        <charset val="1"/>
      </rPr>
      <t xml:space="preserve">LED </t>
    </r>
    <r>
      <rPr>
        <sz val="10"/>
        <color rgb="FF1F4E9A"/>
        <rFont val="微软雅黑"/>
        <family val="2"/>
      </rPr>
      <t xml:space="preserve">灯珠 </t>
    </r>
    <r>
      <rPr>
        <sz val="10"/>
        <color rgb="FF1F4E9A"/>
        <rFont val="微软雅黑"/>
        <family val="0"/>
        <charset val="1"/>
      </rPr>
      <t xml:space="preserve">/ </t>
    </r>
    <r>
      <rPr>
        <sz val="10"/>
        <color rgb="FF1F4E9A"/>
        <rFont val="微软雅黑"/>
        <family val="2"/>
      </rPr>
      <t xml:space="preserve">灯带</t>
    </r>
  </si>
  <si>
    <t xml:space="preserve">由灯板供应商提供规格书</t>
  </si>
  <si>
    <t xml:space="preserve">按灯板方案</t>
  </si>
  <si>
    <t xml:space="preserve">暖黄光</t>
  </si>
  <si>
    <t xml:space="preserve">点亮样件签样。样件编号：【待填】</t>
  </si>
  <si>
    <r>
      <rPr>
        <sz val="10"/>
        <color rgb="FF1F4E9A"/>
        <rFont val="微软雅黑"/>
        <family val="2"/>
      </rPr>
      <t xml:space="preserve">同一批次灯珠选同一色温档（</t>
    </r>
    <r>
      <rPr>
        <sz val="10"/>
        <color rgb="FF1F4E9A"/>
        <rFont val="微软雅黑"/>
        <family val="0"/>
        <charset val="1"/>
      </rPr>
      <t xml:space="preserve">BIN</t>
    </r>
    <r>
      <rPr>
        <sz val="10"/>
        <color rgb="FF1F4E9A"/>
        <rFont val="微软雅黑"/>
        <family val="2"/>
      </rPr>
      <t xml:space="preserve">），避免各台灯色不一致</t>
    </r>
  </si>
  <si>
    <t xml:space="preserve">透过灯圈外壳呈现暖黄、柔和、均匀的光</t>
  </si>
  <si>
    <r>
      <rPr>
        <sz val="10"/>
        <color rgb="FF1F4E9A"/>
        <rFont val="微软雅黑"/>
        <family val="0"/>
        <charset val="1"/>
      </rPr>
      <t xml:space="preserve">T14 </t>
    </r>
    <r>
      <rPr>
        <sz val="10"/>
        <color rgb="FF1F4E9A"/>
        <rFont val="微软雅黑"/>
        <family val="2"/>
      </rPr>
      <t xml:space="preserve">外观（点亮确认）</t>
    </r>
  </si>
  <si>
    <r>
      <rPr>
        <sz val="10"/>
        <color rgb="FF1F4E9A"/>
        <rFont val="微软雅黑"/>
        <family val="2"/>
      </rPr>
      <t xml:space="preserve">标称色温建议 </t>
    </r>
    <r>
      <rPr>
        <sz val="10"/>
        <color rgb="FF1F4E9A"/>
        <rFont val="微软雅黑"/>
        <family val="0"/>
        <charset val="1"/>
      </rPr>
      <t xml:space="preserve">2700K</t>
    </r>
    <r>
      <rPr>
        <sz val="10"/>
        <color rgb="FF1F4E9A"/>
        <rFont val="微软雅黑"/>
        <family val="2"/>
      </rPr>
      <t xml:space="preserve">（</t>
    </r>
    <r>
      <rPr>
        <sz val="10"/>
        <color rgb="FF1F4E9A"/>
        <rFont val="微软雅黑"/>
        <family val="0"/>
        <charset val="1"/>
      </rPr>
      <t xml:space="preserve">ANSI C78.377 </t>
    </r>
    <r>
      <rPr>
        <sz val="10"/>
        <color rgb="FF1F4E9A"/>
        <rFont val="微软雅黑"/>
        <family val="2"/>
      </rPr>
      <t xml:space="preserve">的标称色温档之一）。想要更黄，可同时打 </t>
    </r>
    <r>
      <rPr>
        <sz val="10"/>
        <color rgb="FF1F4E9A"/>
        <rFont val="微软雅黑"/>
        <family val="0"/>
        <charset val="1"/>
      </rPr>
      <t xml:space="preserve">2200K </t>
    </r>
    <r>
      <rPr>
        <sz val="10"/>
        <color rgb="FF1F4E9A"/>
        <rFont val="微软雅黑"/>
        <family val="2"/>
      </rPr>
      <t xml:space="preserve">样件对比后再定：【待确认】</t>
    </r>
  </si>
  <si>
    <t xml:space="preserve">S36</t>
  </si>
  <si>
    <r>
      <rPr>
        <sz val="10"/>
        <color rgb="FF595959"/>
        <rFont val="微软雅黑"/>
        <family val="2"/>
      </rPr>
      <t xml:space="preserve">常见还需补充的零件：底壳 </t>
    </r>
    <r>
      <rPr>
        <sz val="10"/>
        <color rgb="FF595959"/>
        <rFont val="微软雅黑"/>
        <family val="0"/>
        <charset val="1"/>
      </rPr>
      <t xml:space="preserve">/ </t>
    </r>
    <r>
      <rPr>
        <sz val="10"/>
        <color rgb="FF595959"/>
        <rFont val="微软雅黑"/>
        <family val="2"/>
      </rPr>
      <t xml:space="preserve">底板、按键、</t>
    </r>
    <r>
      <rPr>
        <sz val="10"/>
        <color rgb="FF595959"/>
        <rFont val="微软雅黑"/>
        <family val="0"/>
        <charset val="1"/>
      </rPr>
      <t xml:space="preserve">Logo </t>
    </r>
    <r>
      <rPr>
        <sz val="10"/>
        <color rgb="FF595959"/>
        <rFont val="微软雅黑"/>
        <family val="2"/>
      </rPr>
      <t xml:space="preserve">或铭牌、脚垫、装饰件、导光件、外露螺丝或卡扣。每个外观零件单独占一行。</t>
    </r>
  </si>
  <si>
    <r>
      <rPr>
        <sz val="10"/>
        <color rgb="FF595959"/>
        <rFont val="微软雅黑"/>
        <family val="2"/>
      </rPr>
      <t xml:space="preserve">效果图中的颜色只作参考；量产颜色以双方签字的实物色板和限度样为准。每次修改请把版本号加一（</t>
    </r>
    <r>
      <rPr>
        <sz val="10"/>
        <color rgb="FF595959"/>
        <rFont val="微软雅黑"/>
        <family val="0"/>
        <charset val="1"/>
      </rPr>
      <t xml:space="preserve">V1.0 → V1.1</t>
    </r>
    <r>
      <rPr>
        <sz val="10"/>
        <color rgb="FF595959"/>
        <rFont val="微软雅黑"/>
        <family val="2"/>
      </rPr>
      <t xml:space="preserve">），并通知厂家。</t>
    </r>
  </si>
  <si>
    <t xml:space="preserve">「建议值」不是国家标准的规定，是给你的起点；最终数值和厂家商定后写进技术协议。</t>
  </si>
  <si>
    <t xml:space="preserve">测试要求（检验标准与判定）</t>
  </si>
  <si>
    <r>
      <rPr>
        <sz val="10"/>
        <color rgb="FF595959"/>
        <rFont val="微软雅黑"/>
        <family val="2"/>
      </rPr>
      <t xml:space="preserve">「判定要求」列：蓝字是建议起点（不是国标规定）；黄色格中的【双方约定】【待填】要和厂家商定后写入技术协议。标准版本为 </t>
    </r>
    <r>
      <rPr>
        <sz val="10"/>
        <color rgb="FF595959"/>
        <rFont val="微软雅黑"/>
        <family val="0"/>
        <charset val="1"/>
      </rPr>
      <t xml:space="preserve">2026-10-09 </t>
    </r>
    <r>
      <rPr>
        <sz val="10"/>
        <color rgb="FF595959"/>
        <rFont val="微软雅黑"/>
        <family val="2"/>
      </rPr>
      <t xml:space="preserve">检索结果，签合同前请到全国标准信息公共服务平台（</t>
    </r>
    <r>
      <rPr>
        <sz val="10"/>
        <color rgb="FF595959"/>
        <rFont val="微软雅黑"/>
        <family val="0"/>
        <charset val="1"/>
      </rPr>
      <t xml:space="preserve">std.samr.gov.cn</t>
    </r>
    <r>
      <rPr>
        <sz val="10"/>
        <color rgb="FF595959"/>
        <rFont val="微软雅黑"/>
        <family val="2"/>
      </rPr>
      <t xml:space="preserve">）复核。</t>
    </r>
  </si>
  <si>
    <t xml:space="preserve">编号</t>
  </si>
  <si>
    <t xml:space="preserve">测试项目</t>
  </si>
  <si>
    <r>
      <rPr>
        <b val="true"/>
        <sz val="10"/>
        <color rgb="FFFFFFFF"/>
        <rFont val="微软雅黑"/>
        <family val="2"/>
      </rPr>
      <t xml:space="preserve">适用零件
（</t>
    </r>
    <r>
      <rPr>
        <b val="true"/>
        <sz val="10"/>
        <color rgb="FFFFFFFF"/>
        <rFont val="微软雅黑"/>
        <family val="0"/>
        <charset val="1"/>
      </rPr>
      <t xml:space="preserve">CMF </t>
    </r>
    <r>
      <rPr>
        <b val="true"/>
        <sz val="10"/>
        <color rgb="FFFFFFFF"/>
        <rFont val="微软雅黑"/>
        <family val="2"/>
      </rPr>
      <t xml:space="preserve">清单序号）</t>
    </r>
  </si>
  <si>
    <t xml:space="preserve">依据标准</t>
  </si>
  <si>
    <t xml:space="preserve">怎么测（通俗说明）</t>
  </si>
  <si>
    <t xml:space="preserve">判定要求
（写进技术协议的值）</t>
  </si>
  <si>
    <t xml:space="preserve">注意事项</t>
  </si>
  <si>
    <t xml:space="preserve">来源</t>
  </si>
  <si>
    <t xml:space="preserve">T01</t>
  </si>
  <si>
    <r>
      <rPr>
        <sz val="10"/>
        <color rgb="FF000000"/>
        <rFont val="微软雅黑"/>
        <family val="2"/>
      </rPr>
      <t xml:space="preserve">涂层附着力（划格 </t>
    </r>
    <r>
      <rPr>
        <sz val="10"/>
        <color rgb="FF000000"/>
        <rFont val="微软雅黑"/>
        <family val="0"/>
        <charset val="1"/>
      </rPr>
      <t xml:space="preserve">/ </t>
    </r>
    <r>
      <rPr>
        <sz val="10"/>
        <color rgb="FF000000"/>
        <rFont val="微软雅黑"/>
        <family val="2"/>
      </rPr>
      <t xml:space="preserve">百格）</t>
    </r>
  </si>
  <si>
    <r>
      <rPr>
        <sz val="10"/>
        <color rgb="FF000000"/>
        <rFont val="微软雅黑"/>
        <family val="0"/>
        <charset val="1"/>
      </rPr>
      <t xml:space="preserve">1 </t>
    </r>
    <r>
      <rPr>
        <sz val="10"/>
        <color rgb="FF000000"/>
        <rFont val="微软雅黑"/>
        <family val="2"/>
      </rPr>
      <t xml:space="preserve">机身外壳</t>
    </r>
  </si>
  <si>
    <r>
      <rPr>
        <sz val="10"/>
        <color rgb="FF000000"/>
        <rFont val="微软雅黑"/>
        <family val="0"/>
        <charset val="1"/>
      </rPr>
      <t xml:space="preserve">GB/T 9286-2021</t>
    </r>
    <r>
      <rPr>
        <sz val="10"/>
        <color rgb="FF000000"/>
        <rFont val="微软雅黑"/>
        <family val="2"/>
      </rPr>
      <t xml:space="preserve">《色漆和清漆 划格试验》，等同采用 </t>
    </r>
    <r>
      <rPr>
        <sz val="10"/>
        <color rgb="FF000000"/>
        <rFont val="微软雅黑"/>
        <family val="0"/>
        <charset val="1"/>
      </rPr>
      <t xml:space="preserve">ISO 2409:2020</t>
    </r>
  </si>
  <si>
    <t xml:space="preserve">用多刃划格刀在漆面划出网格，贴胶带后撕下，看漆膜脱落的程度</t>
  </si>
  <si>
    <r>
      <rPr>
        <sz val="10"/>
        <color rgb="FF1F4E9A"/>
        <rFont val="微软雅黑"/>
        <family val="0"/>
        <charset val="1"/>
      </rPr>
      <t xml:space="preserve">0 </t>
    </r>
    <r>
      <rPr>
        <sz val="10"/>
        <color rgb="FF1F4E9A"/>
        <rFont val="微软雅黑"/>
        <family val="2"/>
      </rPr>
      <t xml:space="preserve">级（切口边缘完全光滑，没有方格脱落）。可接受的最低等级：【双方约定】</t>
    </r>
  </si>
  <si>
    <r>
      <rPr>
        <sz val="10"/>
        <color rgb="FF000000"/>
        <rFont val="微软雅黑"/>
        <family val="0"/>
        <charset val="1"/>
      </rPr>
      <t xml:space="preserve">GB/T 9286 </t>
    </r>
    <r>
      <rPr>
        <sz val="10"/>
        <color rgb="FF000000"/>
        <rFont val="微软雅黑"/>
        <family val="2"/>
      </rPr>
      <t xml:space="preserve">用 </t>
    </r>
    <r>
      <rPr>
        <sz val="10"/>
        <color rgb="FF000000"/>
        <rFont val="微软雅黑"/>
        <family val="0"/>
        <charset val="1"/>
      </rPr>
      <t xml:space="preserve">0–5 </t>
    </r>
    <r>
      <rPr>
        <sz val="10"/>
        <color rgb="FF000000"/>
        <rFont val="微软雅黑"/>
        <family val="2"/>
      </rPr>
      <t xml:space="preserve">级表示，</t>
    </r>
    <r>
      <rPr>
        <sz val="10"/>
        <color rgb="FF000000"/>
        <rFont val="微软雅黑"/>
        <family val="0"/>
        <charset val="1"/>
      </rPr>
      <t xml:space="preserve">0 </t>
    </r>
    <r>
      <rPr>
        <sz val="10"/>
        <color rgb="FF000000"/>
        <rFont val="微软雅黑"/>
        <family val="2"/>
      </rPr>
      <t xml:space="preserve">级最好；美国 </t>
    </r>
    <r>
      <rPr>
        <sz val="10"/>
        <color rgb="FF000000"/>
        <rFont val="微软雅黑"/>
        <family val="0"/>
        <charset val="1"/>
      </rPr>
      <t xml:space="preserve">ASTM D3359 </t>
    </r>
    <r>
      <rPr>
        <sz val="10"/>
        <color rgb="FF000000"/>
        <rFont val="微软雅黑"/>
        <family val="2"/>
      </rPr>
      <t xml:space="preserve">用 </t>
    </r>
    <r>
      <rPr>
        <sz val="10"/>
        <color rgb="FF000000"/>
        <rFont val="微软雅黑"/>
        <family val="0"/>
        <charset val="1"/>
      </rPr>
      <t xml:space="preserve">5B–0B </t>
    </r>
    <r>
      <rPr>
        <sz val="10"/>
        <color rgb="FF000000"/>
        <rFont val="微软雅黑"/>
        <family val="2"/>
      </rPr>
      <t xml:space="preserve">表示，</t>
    </r>
    <r>
      <rPr>
        <sz val="10"/>
        <color rgb="FF000000"/>
        <rFont val="微软雅黑"/>
        <family val="0"/>
        <charset val="1"/>
      </rPr>
      <t xml:space="preserve">5B </t>
    </r>
    <r>
      <rPr>
        <sz val="10"/>
        <color rgb="FF000000"/>
        <rFont val="微软雅黑"/>
        <family val="2"/>
      </rPr>
      <t xml:space="preserve">最好。两套写法不要混用（不要写成「</t>
    </r>
    <r>
      <rPr>
        <sz val="10"/>
        <color rgb="FF000000"/>
        <rFont val="微软雅黑"/>
        <family val="0"/>
        <charset val="1"/>
      </rPr>
      <t xml:space="preserve">GB/T 9286 5B</t>
    </r>
    <r>
      <rPr>
        <sz val="10"/>
        <color rgb="FF000000"/>
        <rFont val="微软雅黑"/>
        <family val="2"/>
      </rPr>
      <t xml:space="preserve">」）</t>
    </r>
  </si>
  <si>
    <r>
      <rPr>
        <sz val="9"/>
        <color rgb="FF595959"/>
        <rFont val="微软雅黑"/>
        <family val="0"/>
        <charset val="1"/>
      </rPr>
      <t xml:space="preserve">S01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S02</t>
    </r>
  </si>
  <si>
    <t xml:space="preserve">T02</t>
  </si>
  <si>
    <t xml:space="preserve">铅笔硬度</t>
  </si>
  <si>
    <r>
      <rPr>
        <sz val="10"/>
        <color rgb="FF000000"/>
        <rFont val="微软雅黑"/>
        <family val="0"/>
        <charset val="1"/>
      </rPr>
      <t xml:space="preserve">GB/T 6739-2022</t>
    </r>
    <r>
      <rPr>
        <sz val="10"/>
        <color rgb="FF000000"/>
        <rFont val="微软雅黑"/>
        <family val="2"/>
      </rPr>
      <t xml:space="preserve">《色漆和清漆 铅笔法测定漆膜硬度》，修改采用 </t>
    </r>
    <r>
      <rPr>
        <sz val="10"/>
        <color rgb="FF000000"/>
        <rFont val="微软雅黑"/>
        <family val="0"/>
        <charset val="1"/>
      </rPr>
      <t xml:space="preserve">ISO 15184:2020</t>
    </r>
  </si>
  <si>
    <t xml:space="preserve">用不同硬度的铅笔，在规定载荷和角度下划漆面，找出不留划痕的最高硬度</t>
  </si>
  <si>
    <t xml:space="preserve">硬度等级：【双方约定】。先让喷涂厂提供所选漆种的试样实测值，再写入</t>
  </si>
  <si>
    <r>
      <rPr>
        <sz val="10"/>
        <color rgb="FF000000"/>
        <rFont val="微软雅黑"/>
        <family val="2"/>
      </rPr>
      <t xml:space="preserve">必须写明载荷：符合 </t>
    </r>
    <r>
      <rPr>
        <sz val="10"/>
        <color rgb="FF000000"/>
        <rFont val="微软雅黑"/>
        <family val="0"/>
        <charset val="1"/>
      </rPr>
      <t xml:space="preserve">ISO 15184 </t>
    </r>
    <r>
      <rPr>
        <sz val="10"/>
        <color rgb="FF000000"/>
        <rFont val="微软雅黑"/>
        <family val="2"/>
      </rPr>
      <t xml:space="preserve">的仪器用 </t>
    </r>
    <r>
      <rPr>
        <sz val="10"/>
        <color rgb="FF000000"/>
        <rFont val="微软雅黑"/>
        <family val="0"/>
        <charset val="1"/>
      </rPr>
      <t xml:space="preserve">750 g</t>
    </r>
    <r>
      <rPr>
        <sz val="10"/>
        <color rgb="FF000000"/>
        <rFont val="微软雅黑"/>
        <family val="2"/>
      </rPr>
      <t xml:space="preserve">；部分企业规范用 </t>
    </r>
    <r>
      <rPr>
        <sz val="10"/>
        <color rgb="FF000000"/>
        <rFont val="微软雅黑"/>
        <family val="0"/>
        <charset val="1"/>
      </rPr>
      <t xml:space="preserve">500 g</t>
    </r>
    <r>
      <rPr>
        <sz val="10"/>
        <color rgb="FF000000"/>
        <rFont val="微软雅黑"/>
        <family val="2"/>
      </rPr>
      <t xml:space="preserve">，两种结果不能直接比较</t>
    </r>
  </si>
  <si>
    <r>
      <rPr>
        <sz val="9"/>
        <color rgb="FF595959"/>
        <rFont val="微软雅黑"/>
        <family val="0"/>
        <charset val="1"/>
      </rPr>
      <t xml:space="preserve">S03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S04</t>
    </r>
  </si>
  <si>
    <t xml:space="preserve">T03</t>
  </si>
  <si>
    <r>
      <rPr>
        <sz val="10"/>
        <color rgb="FF000000"/>
        <rFont val="微软雅黑"/>
        <family val="2"/>
      </rPr>
      <t xml:space="preserve">耐磨（</t>
    </r>
    <r>
      <rPr>
        <sz val="10"/>
        <color rgb="FF000000"/>
        <rFont val="微软雅黑"/>
        <family val="0"/>
        <charset val="1"/>
      </rPr>
      <t xml:space="preserve">RCA </t>
    </r>
    <r>
      <rPr>
        <sz val="10"/>
        <color rgb="FF000000"/>
        <rFont val="微软雅黑"/>
        <family val="2"/>
      </rPr>
      <t xml:space="preserve">纸带）</t>
    </r>
  </si>
  <si>
    <r>
      <rPr>
        <sz val="10"/>
        <color rgb="FF000000"/>
        <rFont val="微软雅黑"/>
        <family val="2"/>
      </rPr>
      <t xml:space="preserve">企业规范（</t>
    </r>
    <r>
      <rPr>
        <sz val="10"/>
        <color rgb="FF000000"/>
        <rFont val="微软雅黑"/>
        <family val="0"/>
        <charset val="1"/>
      </rPr>
      <t xml:space="preserve">Norman Tool RCA </t>
    </r>
    <r>
      <rPr>
        <sz val="10"/>
        <color rgb="FF000000"/>
        <rFont val="微软雅黑"/>
        <family val="2"/>
      </rPr>
      <t xml:space="preserve">磨耗仪）</t>
    </r>
  </si>
  <si>
    <t xml:space="preserve">纸带在规定载荷下反复摩擦漆面，记录不露底的圈数</t>
  </si>
  <si>
    <r>
      <rPr>
        <sz val="10"/>
        <color rgb="FF1F4E9A"/>
        <rFont val="微软雅黑"/>
        <family val="2"/>
      </rPr>
      <t xml:space="preserve">载荷 </t>
    </r>
    <r>
      <rPr>
        <sz val="10"/>
        <color rgb="FF1F4E9A"/>
        <rFont val="微软雅黑"/>
        <family val="0"/>
        <charset val="1"/>
      </rPr>
      <t xml:space="preserve">175 g</t>
    </r>
    <r>
      <rPr>
        <sz val="10"/>
        <color rgb="FF1F4E9A"/>
        <rFont val="微软雅黑"/>
        <family val="2"/>
      </rPr>
      <t xml:space="preserve">（该仪器常用档位）；圈数：【双方约定】</t>
    </r>
  </si>
  <si>
    <r>
      <rPr>
        <sz val="10"/>
        <color rgb="FF000000"/>
        <rFont val="微软雅黑"/>
        <family val="2"/>
      </rPr>
      <t xml:space="preserve">以前常引用的 </t>
    </r>
    <r>
      <rPr>
        <sz val="10"/>
        <color rgb="FF000000"/>
        <rFont val="微软雅黑"/>
        <family val="0"/>
        <charset val="1"/>
      </rPr>
      <t xml:space="preserve">ASTM F2357 </t>
    </r>
    <r>
      <rPr>
        <sz val="10"/>
        <color rgb="FF000000"/>
        <rFont val="微软雅黑"/>
        <family val="2"/>
      </rPr>
      <t xml:space="preserve">已于 </t>
    </r>
    <r>
      <rPr>
        <sz val="10"/>
        <color rgb="FF000000"/>
        <rFont val="微软雅黑"/>
        <family val="0"/>
        <charset val="1"/>
      </rPr>
      <t xml:space="preserve">2017 </t>
    </r>
    <r>
      <rPr>
        <sz val="10"/>
        <color rgb="FF000000"/>
        <rFont val="微软雅黑"/>
        <family val="2"/>
      </rPr>
      <t xml:space="preserve">年撤销，现在多按企业规范执行；协议中写明载荷和圈数</t>
    </r>
  </si>
  <si>
    <t xml:space="preserve">S05</t>
  </si>
  <si>
    <t xml:space="preserve">T04</t>
  </si>
  <si>
    <t xml:space="preserve">耐酒精擦拭</t>
  </si>
  <si>
    <t xml:space="preserve">企业规范（无统一国标）</t>
  </si>
  <si>
    <t xml:space="preserve">用蘸酒精的白布，在规定压力下往复擦拭漆面</t>
  </si>
  <si>
    <t xml:space="preserve">酒精浓度、压力、次数：【双方约定】。判定：不露底、无明显失光或变色</t>
  </si>
  <si>
    <t xml:space="preserve">没有国标，务必把条件写进协议</t>
  </si>
  <si>
    <t xml:space="preserve">T05</t>
  </si>
  <si>
    <t xml:space="preserve">恒定湿热后附着力</t>
  </si>
  <si>
    <r>
      <rPr>
        <sz val="10"/>
        <color rgb="FF000000"/>
        <rFont val="微软雅黑"/>
        <family val="0"/>
        <charset val="1"/>
      </rPr>
      <t xml:space="preserve">GB/T 2423.3-2016</t>
    </r>
    <r>
      <rPr>
        <sz val="10"/>
        <color rgb="FF000000"/>
        <rFont val="微软雅黑"/>
        <family val="2"/>
      </rPr>
      <t xml:space="preserve">（试验 </t>
    </r>
    <r>
      <rPr>
        <sz val="10"/>
        <color rgb="FF000000"/>
        <rFont val="微软雅黑"/>
        <family val="0"/>
        <charset val="1"/>
      </rPr>
      <t xml:space="preserve">Cab</t>
    </r>
    <r>
      <rPr>
        <sz val="10"/>
        <color rgb="FF000000"/>
        <rFont val="微软雅黑"/>
        <family val="2"/>
      </rPr>
      <t xml:space="preserve">：恒定湿热，等同采用 </t>
    </r>
    <r>
      <rPr>
        <sz val="10"/>
        <color rgb="FF000000"/>
        <rFont val="微软雅黑"/>
        <family val="0"/>
        <charset val="1"/>
      </rPr>
      <t xml:space="preserve">IEC 60068-2-78:2012</t>
    </r>
    <r>
      <rPr>
        <sz val="10"/>
        <color rgb="FF000000"/>
        <rFont val="微软雅黑"/>
        <family val="2"/>
      </rPr>
      <t xml:space="preserve">）</t>
    </r>
    <r>
      <rPr>
        <sz val="10"/>
        <color rgb="FF000000"/>
        <rFont val="微软雅黑"/>
        <family val="0"/>
        <charset val="1"/>
      </rPr>
      <t xml:space="preserve">+ GB/T 9286-2021</t>
    </r>
  </si>
  <si>
    <t xml:space="preserve">先放进恒温恒湿箱，取出恢复后检查外观，再做划格试验</t>
  </si>
  <si>
    <r>
      <rPr>
        <sz val="10"/>
        <color rgb="FF1F4E9A"/>
        <rFont val="微软雅黑"/>
        <family val="2"/>
      </rPr>
      <t xml:space="preserve">温度、湿度、时长：【双方约定】。试验后无起泡、无脱落，附着力不低于 </t>
    </r>
    <r>
      <rPr>
        <sz val="10"/>
        <color rgb="FF1F4E9A"/>
        <rFont val="微软雅黑"/>
        <family val="0"/>
        <charset val="1"/>
      </rPr>
      <t xml:space="preserve">T01 </t>
    </r>
    <r>
      <rPr>
        <sz val="10"/>
        <color rgb="FF1F4E9A"/>
        <rFont val="微软雅黑"/>
        <family val="2"/>
      </rPr>
      <t xml:space="preserve">的约定等级</t>
    </r>
  </si>
  <si>
    <t xml:space="preserve">标准只规定试验方法，严酷等级要在协议中写明</t>
  </si>
  <si>
    <r>
      <rPr>
        <sz val="9"/>
        <color rgb="FF595959"/>
        <rFont val="微软雅黑"/>
        <family val="0"/>
        <charset val="1"/>
      </rPr>
      <t xml:space="preserve">S01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S06</t>
    </r>
  </si>
  <si>
    <t xml:space="preserve">T06</t>
  </si>
  <si>
    <t xml:space="preserve">温度变化（可选）</t>
  </si>
  <si>
    <r>
      <rPr>
        <sz val="10"/>
        <color rgb="FF000000"/>
        <rFont val="微软雅黑"/>
        <family val="2"/>
      </rPr>
      <t xml:space="preserve">整机 </t>
    </r>
    <r>
      <rPr>
        <sz val="10"/>
        <color rgb="FF000000"/>
        <rFont val="微软雅黑"/>
        <family val="0"/>
        <charset val="1"/>
      </rPr>
      <t xml:space="preserve">/ </t>
    </r>
    <r>
      <rPr>
        <sz val="10"/>
        <color rgb="FF000000"/>
        <rFont val="微软雅黑"/>
        <family val="2"/>
      </rPr>
      <t xml:space="preserve">喷涂件</t>
    </r>
  </si>
  <si>
    <r>
      <rPr>
        <sz val="10"/>
        <color rgb="FF000000"/>
        <rFont val="微软雅黑"/>
        <family val="0"/>
        <charset val="1"/>
      </rPr>
      <t xml:space="preserve">GB/T 2423.22-2012</t>
    </r>
    <r>
      <rPr>
        <sz val="10"/>
        <color rgb="FF000000"/>
        <rFont val="微软雅黑"/>
        <family val="2"/>
      </rPr>
      <t xml:space="preserve">（试验 </t>
    </r>
    <r>
      <rPr>
        <sz val="10"/>
        <color rgb="FF000000"/>
        <rFont val="微软雅黑"/>
        <family val="0"/>
        <charset val="1"/>
      </rPr>
      <t xml:space="preserve">N</t>
    </r>
    <r>
      <rPr>
        <sz val="10"/>
        <color rgb="FF000000"/>
        <rFont val="微软雅黑"/>
        <family val="2"/>
      </rPr>
      <t xml:space="preserve">：温度变化，等同采用 </t>
    </r>
    <r>
      <rPr>
        <sz val="10"/>
        <color rgb="FF000000"/>
        <rFont val="微软雅黑"/>
        <family val="0"/>
        <charset val="1"/>
      </rPr>
      <t xml:space="preserve">IEC 60068-2-14:2009</t>
    </r>
    <r>
      <rPr>
        <sz val="10"/>
        <color rgb="FF000000"/>
        <rFont val="微软雅黑"/>
        <family val="2"/>
      </rPr>
      <t xml:space="preserve">）</t>
    </r>
  </si>
  <si>
    <t xml:space="preserve">在高温和低温之间循环，检查开裂、变形、掉漆</t>
  </si>
  <si>
    <t xml:space="preserve">温度范围、循环次数：【双方约定】</t>
  </si>
  <si>
    <t xml:space="preserve">可选项，按产品实际使用环境决定是否做</t>
  </si>
  <si>
    <t xml:space="preserve">S07</t>
  </si>
  <si>
    <t xml:space="preserve">T07</t>
  </si>
  <si>
    <t xml:space="preserve">颜色测量与色差</t>
  </si>
  <si>
    <r>
      <rPr>
        <sz val="10"/>
        <color rgb="FF000000"/>
        <rFont val="微软雅黑"/>
        <family val="0"/>
        <charset val="1"/>
      </rPr>
      <t xml:space="preserve">1–5 </t>
    </r>
    <r>
      <rPr>
        <sz val="10"/>
        <color rgb="FF000000"/>
        <rFont val="微软雅黑"/>
        <family val="2"/>
      </rPr>
      <t xml:space="preserve">全部外观件</t>
    </r>
  </si>
  <si>
    <r>
      <rPr>
        <sz val="10"/>
        <color rgb="FF000000"/>
        <rFont val="微软雅黑"/>
        <family val="2"/>
      </rPr>
      <t xml:space="preserve">测量方法：</t>
    </r>
    <r>
      <rPr>
        <sz val="10"/>
        <color rgb="FF000000"/>
        <rFont val="微软雅黑"/>
        <family val="0"/>
        <charset val="1"/>
      </rPr>
      <t xml:space="preserve">GB/T 3979-2008</t>
    </r>
    <r>
      <rPr>
        <sz val="10"/>
        <color rgb="FF000000"/>
        <rFont val="微软雅黑"/>
        <family val="2"/>
      </rPr>
      <t xml:space="preserve">《物体色的测量方法》；色差公式：</t>
    </r>
    <r>
      <rPr>
        <sz val="10"/>
        <color rgb="FF000000"/>
        <rFont val="微软雅黑"/>
        <family val="0"/>
        <charset val="1"/>
      </rPr>
      <t xml:space="preserve">GB/T 7921-2008</t>
    </r>
    <r>
      <rPr>
        <sz val="10"/>
        <color rgb="FF000000"/>
        <rFont val="微软雅黑"/>
        <family val="2"/>
      </rPr>
      <t xml:space="preserve">（</t>
    </r>
    <r>
      <rPr>
        <sz val="10"/>
        <color rgb="FF000000"/>
        <rFont val="微软雅黑"/>
        <family val="0"/>
        <charset val="1"/>
      </rPr>
      <t xml:space="preserve">CIE 1976 L*a*b*</t>
    </r>
    <r>
      <rPr>
        <sz val="10"/>
        <color rgb="FF000000"/>
        <rFont val="微软雅黑"/>
        <family val="2"/>
      </rPr>
      <t xml:space="preserve">）；金属漆多角度测量：</t>
    </r>
    <r>
      <rPr>
        <sz val="10"/>
        <color rgb="FF000000"/>
        <rFont val="微软雅黑"/>
        <family val="0"/>
        <charset val="1"/>
      </rPr>
      <t xml:space="preserve">ASTM E2194</t>
    </r>
  </si>
  <si>
    <r>
      <rPr>
        <sz val="10"/>
        <color rgb="FF000000"/>
        <rFont val="微软雅黑"/>
        <family val="2"/>
      </rPr>
      <t xml:space="preserve">用色差仪测 </t>
    </r>
    <r>
      <rPr>
        <sz val="10"/>
        <color rgb="FF000000"/>
        <rFont val="微软雅黑"/>
        <family val="0"/>
        <charset val="1"/>
      </rPr>
      <t xml:space="preserve">L*a*b*</t>
    </r>
    <r>
      <rPr>
        <sz val="10"/>
        <color rgb="FF000000"/>
        <rFont val="微软雅黑"/>
        <family val="2"/>
      </rPr>
      <t xml:space="preserve">，和签样色板比较得到 </t>
    </r>
    <r>
      <rPr>
        <sz val="10"/>
        <color rgb="FF000000"/>
        <rFont val="微软雅黑"/>
        <family val="0"/>
        <charset val="1"/>
      </rPr>
      <t xml:space="preserve">ΔE</t>
    </r>
    <r>
      <rPr>
        <sz val="10"/>
        <color rgb="FF000000"/>
        <rFont val="微软雅黑"/>
        <family val="2"/>
      </rPr>
      <t xml:space="preserve">；金属漆要测三个角度（常用 </t>
    </r>
    <r>
      <rPr>
        <sz val="10"/>
        <color rgb="FF000000"/>
        <rFont val="微软雅黑"/>
        <family val="0"/>
        <charset val="1"/>
      </rPr>
      <t xml:space="preserve">15° / 45° / 110°</t>
    </r>
    <r>
      <rPr>
        <sz val="10"/>
        <color rgb="FF000000"/>
        <rFont val="微软雅黑"/>
        <family val="2"/>
      </rPr>
      <t xml:space="preserve">）</t>
    </r>
  </si>
  <si>
    <r>
      <rPr>
        <sz val="10"/>
        <color rgb="FF1F4E9A"/>
        <rFont val="微软雅黑"/>
        <family val="2"/>
      </rPr>
      <t xml:space="preserve">建议起点：外观件 </t>
    </r>
    <r>
      <rPr>
        <sz val="10"/>
        <color rgb="FF1F4E9A"/>
        <rFont val="微软雅黑"/>
        <family val="0"/>
        <charset val="1"/>
      </rPr>
      <t xml:space="preserve">45° ΔE*ab ≤ 1.0–1.5</t>
    </r>
    <r>
      <rPr>
        <sz val="10"/>
        <color rgb="FF1F4E9A"/>
        <rFont val="微软雅黑"/>
        <family val="2"/>
      </rPr>
      <t xml:space="preserve">（建议值，非国标）。最终限值：【双方约定】</t>
    </r>
  </si>
  <si>
    <t xml:space="preserve">三个角度的数值都合格，也不保证目视一致（光泽、纹理、银粉排列都有影响），最终以目视对比签样板为准</t>
  </si>
  <si>
    <t xml:space="preserve">S08–S10</t>
  </si>
  <si>
    <t xml:space="preserve">T08</t>
  </si>
  <si>
    <t xml:space="preserve">阳极氧化膜厚</t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</si>
  <si>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微软雅黑"/>
        <family val="2"/>
      </rPr>
      <t xml:space="preserve">铝件</t>
    </r>
  </si>
  <si>
    <r>
      <rPr>
        <sz val="10"/>
        <color rgb="FF000000"/>
        <rFont val="微软雅黑"/>
        <family val="2"/>
      </rPr>
      <t xml:space="preserve">膜厚级别：</t>
    </r>
    <r>
      <rPr>
        <sz val="10"/>
        <color rgb="FF000000"/>
        <rFont val="微软雅黑"/>
        <family val="0"/>
        <charset val="1"/>
      </rPr>
      <t xml:space="preserve">GB/T 8013.1-2018</t>
    </r>
    <r>
      <rPr>
        <sz val="10"/>
        <color rgb="FF000000"/>
        <rFont val="微软雅黑"/>
        <family val="2"/>
      </rPr>
      <t xml:space="preserve">；测量方法：</t>
    </r>
    <r>
      <rPr>
        <sz val="10"/>
        <color rgb="FF000000"/>
        <rFont val="微软雅黑"/>
        <family val="0"/>
        <charset val="1"/>
      </rPr>
      <t xml:space="preserve">GB/T 4957-2003</t>
    </r>
    <r>
      <rPr>
        <sz val="10"/>
        <color rgb="FF000000"/>
        <rFont val="微软雅黑"/>
        <family val="2"/>
      </rPr>
      <t xml:space="preserve">（涡流法）</t>
    </r>
  </si>
  <si>
    <t xml:space="preserve">用涡流测厚仪在零件外观面上多点测量</t>
  </si>
  <si>
    <r>
      <rPr>
        <sz val="10"/>
        <color rgb="FF1F4E9A"/>
        <rFont val="微软雅黑"/>
        <family val="0"/>
        <charset val="1"/>
      </rPr>
      <t xml:space="preserve">AA10</t>
    </r>
    <r>
      <rPr>
        <sz val="10"/>
        <color rgb="FF1F4E9A"/>
        <rFont val="微软雅黑"/>
        <family val="2"/>
      </rPr>
      <t xml:space="preserve">：平均膜厚 ≥ </t>
    </r>
    <r>
      <rPr>
        <sz val="10"/>
        <color rgb="FF1F4E9A"/>
        <rFont val="微软雅黑"/>
        <family val="0"/>
        <charset val="1"/>
      </rPr>
      <t xml:space="preserve">10 μm</t>
    </r>
    <r>
      <rPr>
        <sz val="10"/>
        <color rgb="FF1F4E9A"/>
        <rFont val="微软雅黑"/>
        <family val="2"/>
      </rPr>
      <t xml:space="preserve">（</t>
    </r>
    <r>
      <rPr>
        <sz val="10"/>
        <color rgb="FF1F4E9A"/>
        <rFont val="微软雅黑"/>
        <family val="0"/>
        <charset val="1"/>
      </rPr>
      <t xml:space="preserve">AA </t>
    </r>
    <r>
      <rPr>
        <sz val="10"/>
        <color rgb="FF1F4E9A"/>
        <rFont val="微软雅黑"/>
        <family val="2"/>
      </rPr>
      <t xml:space="preserve">后数字为最小平均膜厚）。局部最小膜厚按标准正文</t>
    </r>
  </si>
  <si>
    <r>
      <rPr>
        <sz val="10"/>
        <color rgb="FF000000"/>
        <rFont val="微软雅黑"/>
        <family val="2"/>
      </rPr>
      <t xml:space="preserve">资料中 </t>
    </r>
    <r>
      <rPr>
        <sz val="10"/>
        <color rgb="FF000000"/>
        <rFont val="微软雅黑"/>
        <family val="0"/>
        <charset val="1"/>
      </rPr>
      <t xml:space="preserve">AA10 </t>
    </r>
    <r>
      <rPr>
        <sz val="10"/>
        <color rgb="FF000000"/>
        <rFont val="微软雅黑"/>
        <family val="2"/>
      </rPr>
      <t xml:space="preserve">用于户外时要求能经常维护；本品为室内产品，可先按 </t>
    </r>
    <r>
      <rPr>
        <sz val="10"/>
        <color rgb="FF000000"/>
        <rFont val="微软雅黑"/>
        <family val="0"/>
        <charset val="1"/>
      </rPr>
      <t xml:space="preserve">AA10 </t>
    </r>
    <r>
      <rPr>
        <sz val="10"/>
        <color rgb="FF000000"/>
        <rFont val="微软雅黑"/>
        <family val="2"/>
      </rPr>
      <t xml:space="preserve">和阳极厂确认</t>
    </r>
  </si>
  <si>
    <t xml:space="preserve">S11–S13</t>
  </si>
  <si>
    <t xml:space="preserve">T09</t>
  </si>
  <si>
    <t xml:space="preserve">封孔质量</t>
  </si>
  <si>
    <r>
      <rPr>
        <sz val="10"/>
        <color rgb="FF000000"/>
        <rFont val="微软雅黑"/>
        <family val="0"/>
        <charset val="1"/>
      </rPr>
      <t xml:space="preserve">GB/T 8753.1-2017</t>
    </r>
    <r>
      <rPr>
        <sz val="10"/>
        <color rgb="FF000000"/>
        <rFont val="微软雅黑"/>
        <family val="2"/>
      </rPr>
      <t xml:space="preserve">（酸浸蚀失重法）或 </t>
    </r>
    <r>
      <rPr>
        <sz val="10"/>
        <color rgb="FF000000"/>
        <rFont val="微软雅黑"/>
        <family val="0"/>
        <charset val="1"/>
      </rPr>
      <t xml:space="preserve">GB/T 8753.3-2005</t>
    </r>
    <r>
      <rPr>
        <sz val="10"/>
        <color rgb="FF000000"/>
        <rFont val="微软雅黑"/>
        <family val="2"/>
      </rPr>
      <t xml:space="preserve">（导纳法），二选一</t>
    </r>
  </si>
  <si>
    <t xml:space="preserve">检查阳极膜的微孔有没有封好；封孔不好容易吸污、褪色</t>
  </si>
  <si>
    <t xml:space="preserve">按所选方法的标准限值判定</t>
  </si>
  <si>
    <t xml:space="preserve">协议中写明用哪一种方法</t>
  </si>
  <si>
    <t xml:space="preserve">S14</t>
  </si>
  <si>
    <t xml:space="preserve">T10</t>
  </si>
  <si>
    <t xml:space="preserve">阳极膜颜色和外观</t>
  </si>
  <si>
    <r>
      <rPr>
        <sz val="10"/>
        <color rgb="FF000000"/>
        <rFont val="微软雅黑"/>
        <family val="0"/>
        <charset val="1"/>
      </rPr>
      <t xml:space="preserve">GB/T 12967.6-2022</t>
    </r>
    <r>
      <rPr>
        <sz val="10"/>
        <color rgb="FF000000"/>
        <rFont val="微软雅黑"/>
        <family val="2"/>
      </rPr>
      <t xml:space="preserve">（铝及铝合金阳极氧化膜检测方法 第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微软雅黑"/>
        <family val="2"/>
      </rPr>
      <t xml:space="preserve">部分：颜色和外观的测定）</t>
    </r>
  </si>
  <si>
    <t xml:space="preserve">和签样色板、深浅限度样放在一起对比</t>
  </si>
  <si>
    <t xml:space="preserve">颜色落在深、浅限度样之间为合格；外观无斑点、无明显挂具印。挂具点位置：【双方约定】</t>
  </si>
  <si>
    <t xml:space="preserve">同槽同批生产能减少色差；顶部栅栏和底部增高圈要放在一起比对</t>
  </si>
  <si>
    <r>
      <rPr>
        <sz val="9"/>
        <color rgb="FF595959"/>
        <rFont val="微软雅黑"/>
        <family val="0"/>
        <charset val="1"/>
      </rPr>
      <t xml:space="preserve">S15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S31</t>
    </r>
  </si>
  <si>
    <t xml:space="preserve">T11</t>
  </si>
  <si>
    <r>
      <rPr>
        <sz val="10"/>
        <color rgb="FF000000"/>
        <rFont val="微软雅黑"/>
        <family val="2"/>
      </rPr>
      <t xml:space="preserve">中性盐雾（</t>
    </r>
    <r>
      <rPr>
        <sz val="10"/>
        <color rgb="FF000000"/>
        <rFont val="微软雅黑"/>
        <family val="0"/>
        <charset val="1"/>
      </rPr>
      <t xml:space="preserve">NSS</t>
    </r>
    <r>
      <rPr>
        <sz val="10"/>
        <color rgb="FF000000"/>
        <rFont val="微软雅黑"/>
        <family val="2"/>
      </rPr>
      <t xml:space="preserve">）</t>
    </r>
  </si>
  <si>
    <r>
      <rPr>
        <sz val="10"/>
        <color rgb="FF000000"/>
        <rFont val="微软雅黑"/>
        <family val="0"/>
        <charset val="1"/>
      </rPr>
      <t xml:space="preserve">2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3 </t>
    </r>
    <r>
      <rPr>
        <sz val="10"/>
        <color rgb="FF000000"/>
        <rFont val="微软雅黑"/>
        <family val="2"/>
      </rPr>
      <t xml:space="preserve">铝件（喷涂件可选）</t>
    </r>
  </si>
  <si>
    <r>
      <rPr>
        <sz val="10"/>
        <color rgb="FF000000"/>
        <rFont val="微软雅黑"/>
        <family val="0"/>
        <charset val="1"/>
      </rPr>
      <t xml:space="preserve">GB/T 10125-2021</t>
    </r>
    <r>
      <rPr>
        <sz val="10"/>
        <color rgb="FF000000"/>
        <rFont val="微软雅黑"/>
        <family val="2"/>
      </rPr>
      <t xml:space="preserve">（修改采用 </t>
    </r>
    <r>
      <rPr>
        <sz val="10"/>
        <color rgb="FF000000"/>
        <rFont val="微软雅黑"/>
        <family val="0"/>
        <charset val="1"/>
      </rPr>
      <t xml:space="preserve">ISO 9227:2017</t>
    </r>
    <r>
      <rPr>
        <sz val="10"/>
        <color rgb="FF000000"/>
        <rFont val="微软雅黑"/>
        <family val="2"/>
      </rPr>
      <t xml:space="preserve">）；铝阳极膜也可按 </t>
    </r>
    <r>
      <rPr>
        <sz val="10"/>
        <color rgb="FF000000"/>
        <rFont val="微软雅黑"/>
        <family val="0"/>
        <charset val="1"/>
      </rPr>
      <t xml:space="preserve">GB/T 12967.3-2022</t>
    </r>
    <r>
      <rPr>
        <sz val="10"/>
        <color rgb="FF000000"/>
        <rFont val="微软雅黑"/>
        <family val="2"/>
      </rPr>
      <t xml:space="preserve">（盐雾试验）</t>
    </r>
  </si>
  <si>
    <t xml:space="preserve">把零件放进盐雾箱，到规定时间后检查腐蚀情况</t>
  </si>
  <si>
    <t xml:space="preserve">试验时长和判定：【双方约定】</t>
  </si>
  <si>
    <t xml:space="preserve">标准本身不规定具体产品的试验时长和判定，必须在协议中写明</t>
  </si>
  <si>
    <r>
      <rPr>
        <sz val="9"/>
        <color rgb="FF595959"/>
        <rFont val="微软雅黑"/>
        <family val="0"/>
        <charset val="1"/>
      </rPr>
      <t xml:space="preserve">S15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S16</t>
    </r>
  </si>
  <si>
    <t xml:space="preserve">T12</t>
  </si>
  <si>
    <t xml:space="preserve">透光率和雾度</t>
  </si>
  <si>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微软雅黑"/>
        <family val="2"/>
      </rPr>
      <t xml:space="preserve">灯圈外壳</t>
    </r>
  </si>
  <si>
    <r>
      <rPr>
        <sz val="10"/>
        <color rgb="FF000000"/>
        <rFont val="微软雅黑"/>
        <family val="0"/>
        <charset val="1"/>
      </rPr>
      <t xml:space="preserve">GB/T 2410-2008</t>
    </r>
    <r>
      <rPr>
        <sz val="10"/>
        <color rgb="FF000000"/>
        <rFont val="微软雅黑"/>
        <family val="2"/>
      </rPr>
      <t xml:space="preserve">《透明塑料透光率和雾度的测定》</t>
    </r>
  </si>
  <si>
    <t xml:space="preserve">用雾度计测量样片或样件的透光率和雾度</t>
  </si>
  <si>
    <r>
      <rPr>
        <sz val="10"/>
        <color rgb="FF1F4E9A"/>
        <rFont val="微软雅黑"/>
        <family val="2"/>
      </rPr>
      <t xml:space="preserve">目标值打样后写入：透光率【待填】</t>
    </r>
    <r>
      <rPr>
        <sz val="10"/>
        <color rgb="FF1F4E9A"/>
        <rFont val="微软雅黑"/>
        <family val="0"/>
        <charset val="1"/>
      </rPr>
      <t xml:space="preserve">%</t>
    </r>
    <r>
      <rPr>
        <sz val="10"/>
        <color rgb="FF1F4E9A"/>
        <rFont val="微软雅黑"/>
        <family val="2"/>
      </rPr>
      <t xml:space="preserve">、雾度【待填】</t>
    </r>
    <r>
      <rPr>
        <sz val="10"/>
        <color rgb="FF1F4E9A"/>
        <rFont val="微软雅黑"/>
        <family val="0"/>
        <charset val="1"/>
      </rPr>
      <t xml:space="preserve">%</t>
    </r>
    <r>
      <rPr>
        <sz val="10"/>
        <color rgb="FF1F4E9A"/>
        <rFont val="微软雅黑"/>
        <family val="2"/>
      </rPr>
      <t xml:space="preserve">；同时满足看不到灯珠亮点</t>
    </r>
  </si>
  <si>
    <t xml:space="preserve">数值和壁厚有关，要按实际壁厚测</t>
  </si>
  <si>
    <t xml:space="preserve">S17</t>
  </si>
  <si>
    <t xml:space="preserve">T13</t>
  </si>
  <si>
    <t xml:space="preserve">光泽度</t>
  </si>
  <si>
    <r>
      <rPr>
        <sz val="10"/>
        <color rgb="FF000000"/>
        <rFont val="微软雅黑"/>
        <family val="0"/>
        <charset val="1"/>
      </rPr>
      <t xml:space="preserve">1 </t>
    </r>
    <r>
      <rPr>
        <sz val="10"/>
        <color rgb="FF000000"/>
        <rFont val="微软雅黑"/>
        <family val="2"/>
      </rPr>
      <t xml:space="preserve">机身（仅作对比）、本色塑料件</t>
    </r>
  </si>
  <si>
    <r>
      <rPr>
        <sz val="10"/>
        <color rgb="FF000000"/>
        <rFont val="微软雅黑"/>
        <family val="2"/>
      </rPr>
      <t xml:space="preserve">漆膜：</t>
    </r>
    <r>
      <rPr>
        <sz val="10"/>
        <color rgb="FF000000"/>
        <rFont val="微软雅黑"/>
        <family val="0"/>
        <charset val="1"/>
      </rPr>
      <t xml:space="preserve">GB/T 9754-2025</t>
    </r>
    <r>
      <rPr>
        <sz val="10"/>
        <color rgb="FF000000"/>
        <rFont val="微软雅黑"/>
        <family val="2"/>
      </rPr>
      <t xml:space="preserve">（等同采用 </t>
    </r>
    <r>
      <rPr>
        <sz val="10"/>
        <color rgb="FF000000"/>
        <rFont val="微软雅黑"/>
        <family val="0"/>
        <charset val="1"/>
      </rPr>
      <t xml:space="preserve">ISO 2813:2014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2026-01-01 </t>
    </r>
    <r>
      <rPr>
        <sz val="10"/>
        <color rgb="FF000000"/>
        <rFont val="微软雅黑"/>
        <family val="2"/>
      </rPr>
      <t xml:space="preserve">起实施，代替 </t>
    </r>
    <r>
      <rPr>
        <sz val="10"/>
        <color rgb="FF000000"/>
        <rFont val="微软雅黑"/>
        <family val="0"/>
        <charset val="1"/>
      </rPr>
      <t xml:space="preserve">2007 </t>
    </r>
    <r>
      <rPr>
        <sz val="10"/>
        <color rgb="FF000000"/>
        <rFont val="微软雅黑"/>
        <family val="2"/>
      </rPr>
      <t xml:space="preserve">版）；塑料本色面：</t>
    </r>
    <r>
      <rPr>
        <sz val="10"/>
        <color rgb="FF000000"/>
        <rFont val="微软雅黑"/>
        <family val="0"/>
        <charset val="1"/>
      </rPr>
      <t xml:space="preserve">GB/T 8807-1988</t>
    </r>
    <r>
      <rPr>
        <sz val="10"/>
        <color rgb="FF000000"/>
        <rFont val="微软雅黑"/>
        <family val="2"/>
      </rPr>
      <t xml:space="preserve">《塑料镜面光泽试验方法》</t>
    </r>
  </si>
  <si>
    <r>
      <rPr>
        <sz val="10"/>
        <color rgb="FF000000"/>
        <rFont val="微软雅黑"/>
        <family val="2"/>
      </rPr>
      <t xml:space="preserve">用光泽仪测量，一般用 </t>
    </r>
    <r>
      <rPr>
        <sz val="10"/>
        <color rgb="FF000000"/>
        <rFont val="微软雅黑"/>
        <family val="0"/>
        <charset val="1"/>
      </rPr>
      <t xml:space="preserve">60°</t>
    </r>
    <r>
      <rPr>
        <sz val="10"/>
        <color rgb="FF000000"/>
        <rFont val="微软雅黑"/>
        <family val="2"/>
      </rPr>
      <t xml:space="preserve">；高光面用 </t>
    </r>
    <r>
      <rPr>
        <sz val="10"/>
        <color rgb="FF000000"/>
        <rFont val="微软雅黑"/>
        <family val="0"/>
        <charset val="1"/>
      </rPr>
      <t xml:space="preserve">20°</t>
    </r>
    <r>
      <rPr>
        <sz val="10"/>
        <color rgb="FF000000"/>
        <rFont val="微软雅黑"/>
        <family val="2"/>
      </rPr>
      <t xml:space="preserve">，低光面用 </t>
    </r>
    <r>
      <rPr>
        <sz val="10"/>
        <color rgb="FF000000"/>
        <rFont val="微软雅黑"/>
        <family val="0"/>
        <charset val="1"/>
      </rPr>
      <t xml:space="preserve">85°</t>
    </r>
  </si>
  <si>
    <r>
      <rPr>
        <sz val="10"/>
        <color rgb="FF1F4E9A"/>
        <rFont val="微软雅黑"/>
        <family val="2"/>
      </rPr>
      <t xml:space="preserve">签样板实测值 </t>
    </r>
    <r>
      <rPr>
        <sz val="10"/>
        <color rgb="FF1F4E9A"/>
        <rFont val="微软雅黑"/>
        <family val="0"/>
        <charset val="1"/>
      </rPr>
      <t xml:space="preserve">±</t>
    </r>
    <r>
      <rPr>
        <sz val="10"/>
        <color rgb="FF1F4E9A"/>
        <rFont val="微软雅黑"/>
        <family val="2"/>
      </rPr>
      <t xml:space="preserve">【双方约定】</t>
    </r>
    <r>
      <rPr>
        <sz val="10"/>
        <color rgb="FF1F4E9A"/>
        <rFont val="微软雅黑"/>
        <family val="0"/>
        <charset val="1"/>
      </rPr>
      <t xml:space="preserve">GU</t>
    </r>
  </si>
  <si>
    <r>
      <rPr>
        <sz val="10"/>
        <color rgb="FF000000"/>
        <rFont val="微软雅黑"/>
        <family val="2"/>
      </rPr>
      <t xml:space="preserve">金属漆和有纹理的表面不在 </t>
    </r>
    <r>
      <rPr>
        <sz val="10"/>
        <color rgb="FF000000"/>
        <rFont val="微软雅黑"/>
        <family val="0"/>
        <charset val="1"/>
      </rPr>
      <t xml:space="preserve">GB/T 9754 </t>
    </r>
    <r>
      <rPr>
        <sz val="10"/>
        <color rgb="FF000000"/>
        <rFont val="微软雅黑"/>
        <family val="2"/>
      </rPr>
      <t xml:space="preserve">的适用范围，读数只作同一台仪器的对比</t>
    </r>
  </si>
  <si>
    <r>
      <rPr>
        <sz val="9"/>
        <color rgb="FF595959"/>
        <rFont val="微软雅黑"/>
        <family val="0"/>
        <charset val="1"/>
      </rPr>
      <t xml:space="preserve">S18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S19</t>
    </r>
  </si>
  <si>
    <t xml:space="preserve">T14</t>
  </si>
  <si>
    <t xml:space="preserve">外观检验条件</t>
  </si>
  <si>
    <t xml:space="preserve">无统一国标，按双方签订的外观检验规范</t>
  </si>
  <si>
    <r>
      <rPr>
        <sz val="10"/>
        <color rgb="FF000000"/>
        <rFont val="微软雅黑"/>
        <family val="2"/>
      </rPr>
      <t xml:space="preserve">在规定的光源、距离、时间内目视检查，按 </t>
    </r>
    <r>
      <rPr>
        <sz val="10"/>
        <color rgb="FF000000"/>
        <rFont val="微软雅黑"/>
        <family val="0"/>
        <charset val="1"/>
      </rPr>
      <t xml:space="preserve">A/B/C </t>
    </r>
    <r>
      <rPr>
        <sz val="10"/>
        <color rgb="FF000000"/>
        <rFont val="微软雅黑"/>
        <family val="2"/>
      </rPr>
      <t xml:space="preserve">面分别判定</t>
    </r>
  </si>
  <si>
    <r>
      <rPr>
        <sz val="10"/>
        <color rgb="FF1F4E9A"/>
        <rFont val="微软雅黑"/>
        <family val="2"/>
      </rPr>
      <t xml:space="preserve">建议参考企业规范的常见条件：</t>
    </r>
    <r>
      <rPr>
        <sz val="10"/>
        <color rgb="FF1F4E9A"/>
        <rFont val="微软雅黑"/>
        <family val="0"/>
        <charset val="1"/>
      </rPr>
      <t xml:space="preserve">D65 </t>
    </r>
    <r>
      <rPr>
        <sz val="10"/>
        <color rgb="FF1F4E9A"/>
        <rFont val="微软雅黑"/>
        <family val="2"/>
      </rPr>
      <t xml:space="preserve">光源、约 </t>
    </r>
    <r>
      <rPr>
        <sz val="10"/>
        <color rgb="FF1F4E9A"/>
        <rFont val="微软雅黑"/>
        <family val="0"/>
        <charset val="1"/>
      </rPr>
      <t xml:space="preserve">1000 lux</t>
    </r>
    <r>
      <rPr>
        <sz val="10"/>
        <color rgb="FF1F4E9A"/>
        <rFont val="微软雅黑"/>
        <family val="2"/>
      </rPr>
      <t xml:space="preserve">、观察距离约 </t>
    </r>
    <r>
      <rPr>
        <sz val="10"/>
        <color rgb="FF1F4E9A"/>
        <rFont val="微软雅黑"/>
        <family val="0"/>
        <charset val="1"/>
      </rPr>
      <t xml:space="preserve">300 mm</t>
    </r>
    <r>
      <rPr>
        <sz val="10"/>
        <color rgb="FF1F4E9A"/>
        <rFont val="微软雅黑"/>
        <family val="2"/>
      </rPr>
      <t xml:space="preserve">；观察时间：【双方约定】；缺陷允收按 </t>
    </r>
    <r>
      <rPr>
        <sz val="10"/>
        <color rgb="FF1F4E9A"/>
        <rFont val="微软雅黑"/>
        <family val="0"/>
        <charset val="1"/>
      </rPr>
      <t xml:space="preserve">A/B/C </t>
    </r>
    <r>
      <rPr>
        <sz val="10"/>
        <color rgb="FF1F4E9A"/>
        <rFont val="微软雅黑"/>
        <family val="2"/>
      </rPr>
      <t xml:space="preserve">面和限度样</t>
    </r>
  </si>
  <si>
    <r>
      <rPr>
        <sz val="10"/>
        <color rgb="FF000000"/>
        <rFont val="微软雅黑"/>
        <family val="2"/>
      </rPr>
      <t xml:space="preserve">示例条件来自 </t>
    </r>
    <r>
      <rPr>
        <sz val="10"/>
        <color rgb="FF000000"/>
        <rFont val="微软雅黑"/>
        <family val="0"/>
        <charset val="1"/>
      </rPr>
      <t xml:space="preserve">Star Rapid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Vitra </t>
    </r>
    <r>
      <rPr>
        <sz val="10"/>
        <color rgb="FF000000"/>
        <rFont val="微软雅黑"/>
        <family val="2"/>
      </rPr>
      <t xml:space="preserve">两家企业的规范，不是国标</t>
    </r>
  </si>
  <si>
    <r>
      <rPr>
        <sz val="9"/>
        <color rgb="FF595959"/>
        <rFont val="微软雅黑"/>
        <family val="0"/>
        <charset val="1"/>
      </rPr>
      <t xml:space="preserve">S20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S21</t>
    </r>
  </si>
  <si>
    <t xml:space="preserve">T15</t>
  </si>
  <si>
    <t xml:space="preserve">抽样检验</t>
  </si>
  <si>
    <r>
      <rPr>
        <sz val="10"/>
        <color rgb="FF000000"/>
        <rFont val="微软雅黑"/>
        <family val="2"/>
      </rPr>
      <t xml:space="preserve">来料 </t>
    </r>
    <r>
      <rPr>
        <sz val="10"/>
        <color rgb="FF000000"/>
        <rFont val="微软雅黑"/>
        <family val="0"/>
        <charset val="1"/>
      </rPr>
      <t xml:space="preserve">/ </t>
    </r>
    <r>
      <rPr>
        <sz val="10"/>
        <color rgb="FF000000"/>
        <rFont val="微软雅黑"/>
        <family val="2"/>
      </rPr>
      <t xml:space="preserve">出货</t>
    </r>
  </si>
  <si>
    <r>
      <rPr>
        <sz val="10"/>
        <color rgb="FF000000"/>
        <rFont val="微软雅黑"/>
        <family val="0"/>
        <charset val="1"/>
      </rPr>
      <t xml:space="preserve">GB/T 2828.1-2012</t>
    </r>
    <r>
      <rPr>
        <sz val="10"/>
        <color rgb="FF000000"/>
        <rFont val="微软雅黑"/>
        <family val="2"/>
      </rPr>
      <t xml:space="preserve">（等同采用 </t>
    </r>
    <r>
      <rPr>
        <sz val="10"/>
        <color rgb="FF000000"/>
        <rFont val="微软雅黑"/>
        <family val="0"/>
        <charset val="1"/>
      </rPr>
      <t xml:space="preserve">ISO 2859-1:1999</t>
    </r>
    <r>
      <rPr>
        <sz val="10"/>
        <color rgb="FF000000"/>
        <rFont val="微软雅黑"/>
        <family val="2"/>
      </rPr>
      <t xml:space="preserve">）</t>
    </r>
  </si>
  <si>
    <t xml:space="preserve">按批量大小抽样检验，判定整批是否接收</t>
  </si>
  <si>
    <r>
      <rPr>
        <sz val="10"/>
        <color rgb="FF1F4E9A"/>
        <rFont val="微软雅黑"/>
        <family val="2"/>
      </rPr>
      <t xml:space="preserve">检验水平和 </t>
    </r>
    <r>
      <rPr>
        <sz val="10"/>
        <color rgb="FF1F4E9A"/>
        <rFont val="微软雅黑"/>
        <family val="0"/>
        <charset val="1"/>
      </rPr>
      <t xml:space="preserve">AQL </t>
    </r>
    <r>
      <rPr>
        <sz val="10"/>
        <color rgb="FF1F4E9A"/>
        <rFont val="微软雅黑"/>
        <family val="2"/>
      </rPr>
      <t xml:space="preserve">值：【双方约定】</t>
    </r>
  </si>
  <si>
    <t xml:space="preserve">S22</t>
  </si>
  <si>
    <t xml:space="preserve">T16</t>
  </si>
  <si>
    <t xml:space="preserve">尺寸公差</t>
  </si>
  <si>
    <t xml:space="preserve">塑料件</t>
  </si>
  <si>
    <r>
      <rPr>
        <sz val="10"/>
        <color rgb="FF000000"/>
        <rFont val="微软雅黑"/>
        <family val="0"/>
        <charset val="1"/>
      </rPr>
      <t xml:space="preserve">GB/T 14486-2008</t>
    </r>
    <r>
      <rPr>
        <sz val="10"/>
        <color rgb="FF000000"/>
        <rFont val="微软雅黑"/>
        <family val="2"/>
      </rPr>
      <t xml:space="preserve">《塑料模塑件尺寸公差》（</t>
    </r>
    <r>
      <rPr>
        <sz val="10"/>
        <color rgb="FF000000"/>
        <rFont val="微软雅黑"/>
        <family val="0"/>
        <charset val="1"/>
      </rPr>
      <t xml:space="preserve">MT </t>
    </r>
    <r>
      <rPr>
        <sz val="10"/>
        <color rgb="FF000000"/>
        <rFont val="微软雅黑"/>
        <family val="2"/>
      </rPr>
      <t xml:space="preserve">公差等级）</t>
    </r>
  </si>
  <si>
    <r>
      <rPr>
        <sz val="10"/>
        <color rgb="FF000000"/>
        <rFont val="微软雅黑"/>
        <family val="2"/>
      </rPr>
      <t xml:space="preserve">按 </t>
    </r>
    <r>
      <rPr>
        <sz val="10"/>
        <color rgb="FF000000"/>
        <rFont val="微软雅黑"/>
        <family val="0"/>
        <charset val="1"/>
      </rPr>
      <t xml:space="preserve">2D </t>
    </r>
    <r>
      <rPr>
        <sz val="10"/>
        <color rgb="FF000000"/>
        <rFont val="微软雅黑"/>
        <family val="2"/>
      </rPr>
      <t xml:space="preserve">图纸检测</t>
    </r>
  </si>
  <si>
    <r>
      <rPr>
        <sz val="10"/>
        <color rgb="FF1F4E9A"/>
        <rFont val="微软雅黑"/>
        <family val="2"/>
      </rPr>
      <t xml:space="preserve">按 </t>
    </r>
    <r>
      <rPr>
        <sz val="10"/>
        <color rgb="FF1F4E9A"/>
        <rFont val="微软雅黑"/>
        <family val="0"/>
        <charset val="1"/>
      </rPr>
      <t xml:space="preserve">2D </t>
    </r>
    <r>
      <rPr>
        <sz val="10"/>
        <color rgb="FF1F4E9A"/>
        <rFont val="微软雅黑"/>
        <family val="2"/>
      </rPr>
      <t xml:space="preserve">图纸标注</t>
    </r>
  </si>
  <si>
    <r>
      <rPr>
        <sz val="10"/>
        <color rgb="FF000000"/>
        <rFont val="微软雅黑"/>
        <family val="2"/>
      </rPr>
      <t xml:space="preserve">另有资料显示已发布 </t>
    </r>
    <r>
      <rPr>
        <sz val="10"/>
        <color rgb="FF000000"/>
        <rFont val="微软雅黑"/>
        <family val="0"/>
        <charset val="1"/>
      </rPr>
      <t xml:space="preserve">GB/T 47067-2026</t>
    </r>
    <r>
      <rPr>
        <sz val="10"/>
        <color rgb="FF000000"/>
        <rFont val="微软雅黑"/>
        <family val="2"/>
      </rPr>
      <t xml:space="preserve">《塑料模塑件 公差和验收条件》（未在官方平台核实），采用哪一版和厂家确认</t>
    </r>
  </si>
  <si>
    <t xml:space="preserve">S23</t>
  </si>
  <si>
    <t xml:space="preserve">T17</t>
  </si>
  <si>
    <t xml:space="preserve">有害物质（环保）</t>
  </si>
  <si>
    <t xml:space="preserve">全部材料</t>
  </si>
  <si>
    <r>
      <rPr>
        <sz val="10"/>
        <color rgb="FF000000"/>
        <rFont val="微软雅黑"/>
        <family val="2"/>
      </rPr>
      <t xml:space="preserve">国内：</t>
    </r>
    <r>
      <rPr>
        <sz val="10"/>
        <color rgb="FF000000"/>
        <rFont val="微软雅黑"/>
        <family val="0"/>
        <charset val="1"/>
      </rPr>
      <t xml:space="preserve">GB/T 26572</t>
    </r>
    <r>
      <rPr>
        <sz val="10"/>
        <color rgb="FF000000"/>
        <rFont val="微软雅黑"/>
        <family val="2"/>
      </rPr>
      <t xml:space="preserve">（限量）、</t>
    </r>
    <r>
      <rPr>
        <sz val="10"/>
        <color rgb="FF000000"/>
        <rFont val="微软雅黑"/>
        <family val="0"/>
        <charset val="1"/>
      </rPr>
      <t xml:space="preserve">SJ/T 11364-2014</t>
    </r>
    <r>
      <rPr>
        <sz val="10"/>
        <color rgb="FF000000"/>
        <rFont val="微软雅黑"/>
        <family val="2"/>
      </rPr>
      <t xml:space="preserve">（标识），依据工信部第 </t>
    </r>
    <r>
      <rPr>
        <sz val="10"/>
        <color rgb="FF000000"/>
        <rFont val="微软雅黑"/>
        <family val="0"/>
        <charset val="1"/>
      </rPr>
      <t xml:space="preserve">32 </t>
    </r>
    <r>
      <rPr>
        <sz val="10"/>
        <color rgb="FF000000"/>
        <rFont val="微软雅黑"/>
        <family val="2"/>
      </rPr>
      <t xml:space="preserve">号令（</t>
    </r>
    <r>
      <rPr>
        <sz val="10"/>
        <color rgb="FF000000"/>
        <rFont val="微软雅黑"/>
        <family val="0"/>
        <charset val="1"/>
      </rPr>
      <t xml:space="preserve">2016-07-01 </t>
    </r>
    <r>
      <rPr>
        <sz val="10"/>
        <color rgb="FF000000"/>
        <rFont val="微软雅黑"/>
        <family val="2"/>
      </rPr>
      <t xml:space="preserve">施行）；出口欧盟：</t>
    </r>
    <r>
      <rPr>
        <sz val="10"/>
        <color rgb="FF000000"/>
        <rFont val="微软雅黑"/>
        <family val="0"/>
        <charset val="1"/>
      </rPr>
      <t xml:space="preserve">2011/65/EU </t>
    </r>
    <r>
      <rPr>
        <sz val="10"/>
        <color rgb="FF000000"/>
        <rFont val="微软雅黑"/>
        <family val="2"/>
      </rPr>
      <t xml:space="preserve">及 </t>
    </r>
    <r>
      <rPr>
        <sz val="10"/>
        <color rgb="FF000000"/>
        <rFont val="微软雅黑"/>
        <family val="0"/>
        <charset val="1"/>
      </rPr>
      <t xml:space="preserve">(EU) 2015/863</t>
    </r>
  </si>
  <si>
    <t xml:space="preserve">要求材料商和加工厂提供第三方检测报告</t>
  </si>
  <si>
    <t xml:space="preserve">各物质含量低于限量要求（按均质材料判定）</t>
  </si>
  <si>
    <r>
      <rPr>
        <sz val="10"/>
        <color rgb="FF000000"/>
        <rFont val="微软雅黑"/>
        <family val="2"/>
      </rPr>
      <t xml:space="preserve">欧盟 </t>
    </r>
    <r>
      <rPr>
        <sz val="10"/>
        <color rgb="FF000000"/>
        <rFont val="微软雅黑"/>
        <family val="0"/>
        <charset val="1"/>
      </rPr>
      <t xml:space="preserve">RoHS </t>
    </r>
    <r>
      <rPr>
        <sz val="10"/>
        <color rgb="FF000000"/>
        <rFont val="微软雅黑"/>
        <family val="2"/>
      </rPr>
      <t xml:space="preserve">共 </t>
    </r>
    <r>
      <rPr>
        <sz val="10"/>
        <color rgb="FF000000"/>
        <rFont val="微软雅黑"/>
        <family val="0"/>
        <charset val="1"/>
      </rPr>
      <t xml:space="preserve">10 </t>
    </r>
    <r>
      <rPr>
        <sz val="10"/>
        <color rgb="FF000000"/>
        <rFont val="微软雅黑"/>
        <family val="2"/>
      </rPr>
      <t xml:space="preserve">项物质：镉限量 </t>
    </r>
    <r>
      <rPr>
        <sz val="10"/>
        <color rgb="FF000000"/>
        <rFont val="微软雅黑"/>
        <family val="0"/>
        <charset val="1"/>
      </rPr>
      <t xml:space="preserve">0.01%</t>
    </r>
    <r>
      <rPr>
        <sz val="10"/>
        <color rgb="FF000000"/>
        <rFont val="微软雅黑"/>
        <family val="2"/>
      </rPr>
      <t xml:space="preserve">，其余 </t>
    </r>
    <r>
      <rPr>
        <sz val="10"/>
        <color rgb="FF000000"/>
        <rFont val="微软雅黑"/>
        <family val="0"/>
        <charset val="1"/>
      </rPr>
      <t xml:space="preserve">9 </t>
    </r>
    <r>
      <rPr>
        <sz val="10"/>
        <color rgb="FF000000"/>
        <rFont val="微软雅黑"/>
        <family val="2"/>
      </rPr>
      <t xml:space="preserve">项各 </t>
    </r>
    <r>
      <rPr>
        <sz val="10"/>
        <color rgb="FF000000"/>
        <rFont val="微软雅黑"/>
        <family val="0"/>
        <charset val="1"/>
      </rPr>
      <t xml:space="preserve">0.1%</t>
    </r>
  </si>
  <si>
    <r>
      <rPr>
        <sz val="9"/>
        <color rgb="FF595959"/>
        <rFont val="微软雅黑"/>
        <family val="0"/>
        <charset val="1"/>
      </rPr>
      <t xml:space="preserve">S24</t>
    </r>
    <r>
      <rPr>
        <sz val="9"/>
        <color rgb="FF595959"/>
        <rFont val="微软雅黑"/>
        <family val="2"/>
      </rPr>
      <t xml:space="preserve">、</t>
    </r>
    <r>
      <rPr>
        <sz val="9"/>
        <color rgb="FF595959"/>
        <rFont val="微软雅黑"/>
        <family val="0"/>
        <charset val="1"/>
      </rPr>
      <t xml:space="preserve">S25</t>
    </r>
  </si>
  <si>
    <t xml:space="preserve">T18</t>
  </si>
  <si>
    <t xml:space="preserve">阻燃等级（如需要）</t>
  </si>
  <si>
    <t xml:space="preserve">塑料外壳、灯圈外壳</t>
  </si>
  <si>
    <r>
      <rPr>
        <sz val="10"/>
        <color rgb="FF000000"/>
        <rFont val="微软雅黑"/>
        <family val="0"/>
        <charset val="1"/>
      </rPr>
      <t xml:space="preserve">UL 94</t>
    </r>
    <r>
      <rPr>
        <sz val="10"/>
        <color rgb="FF000000"/>
        <rFont val="微软雅黑"/>
        <family val="2"/>
      </rPr>
      <t xml:space="preserve">；是否需要、需要几级，由产品适用的安规标准决定（例如音视频和信息技术设备适用 </t>
    </r>
    <r>
      <rPr>
        <sz val="10"/>
        <color rgb="FF000000"/>
        <rFont val="微软雅黑"/>
        <family val="0"/>
        <charset val="1"/>
      </rPr>
      <t xml:space="preserve">GB 4943.1-2022</t>
    </r>
    <r>
      <rPr>
        <sz val="10"/>
        <color rgb="FF000000"/>
        <rFont val="微软雅黑"/>
        <family val="2"/>
      </rPr>
      <t xml:space="preserve">）</t>
    </r>
  </si>
  <si>
    <r>
      <rPr>
        <sz val="10"/>
        <color rgb="FF000000"/>
        <rFont val="微软雅黑"/>
        <family val="2"/>
      </rPr>
      <t xml:space="preserve">由材料商提供 </t>
    </r>
    <r>
      <rPr>
        <sz val="10"/>
        <color rgb="FF000000"/>
        <rFont val="微软雅黑"/>
        <family val="0"/>
        <charset val="1"/>
      </rPr>
      <t xml:space="preserve">UL </t>
    </r>
    <r>
      <rPr>
        <sz val="10"/>
        <color rgb="FF000000"/>
        <rFont val="微软雅黑"/>
        <family val="2"/>
      </rPr>
      <t xml:space="preserve">认证（俗称黄卡）或测试报告</t>
    </r>
  </si>
  <si>
    <t xml:space="preserve">【待确认】按安规评估结论</t>
  </si>
  <si>
    <t xml:space="preserve">外壳材料要求取决于电源等级和起火源位置，需要整机评估；请安规工程师或检测机构确认</t>
  </si>
  <si>
    <t xml:space="preserve">S26</t>
  </si>
  <si>
    <t xml:space="preserve">随附文件清单（发给厂家前逐项准备）</t>
  </si>
  <si>
    <t xml:space="preserve">文件</t>
  </si>
  <si>
    <t xml:space="preserve">推荐格式</t>
  </si>
  <si>
    <t xml:space="preserve">是否必需</t>
  </si>
  <si>
    <r>
      <rPr>
        <b val="true"/>
        <sz val="10"/>
        <color rgb="FFFFFFFF"/>
        <rFont val="微软雅黑"/>
        <family val="2"/>
      </rPr>
      <t xml:space="preserve">为什么要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注意事项</t>
    </r>
  </si>
  <si>
    <t xml:space="preserve">已准备
（填 ✔）</t>
  </si>
  <si>
    <r>
      <rPr>
        <b val="true"/>
        <sz val="10"/>
        <color rgb="FF000000"/>
        <rFont val="微软雅黑"/>
        <family val="0"/>
        <charset val="1"/>
      </rPr>
      <t xml:space="preserve">3D </t>
    </r>
    <r>
      <rPr>
        <b val="true"/>
        <sz val="10"/>
        <color rgb="FF000000"/>
        <rFont val="微软雅黑"/>
        <family val="2"/>
      </rPr>
      <t xml:space="preserve">模型</t>
    </r>
  </si>
  <si>
    <r>
      <rPr>
        <sz val="10"/>
        <color rgb="FF000000"/>
        <rFont val="微软雅黑"/>
        <family val="0"/>
        <charset val="1"/>
      </rPr>
      <t xml:space="preserve">STP</t>
    </r>
    <r>
      <rPr>
        <sz val="10"/>
        <color rgb="FF000000"/>
        <rFont val="微软雅黑"/>
        <family val="2"/>
      </rPr>
      <t xml:space="preserve">（</t>
    </r>
    <r>
      <rPr>
        <sz val="10"/>
        <color rgb="FF000000"/>
        <rFont val="微软雅黑"/>
        <family val="0"/>
        <charset val="1"/>
      </rPr>
      <t xml:space="preserve">STEP</t>
    </r>
    <r>
      <rPr>
        <sz val="10"/>
        <color rgb="FF000000"/>
        <rFont val="微软雅黑"/>
        <family val="2"/>
      </rPr>
      <t xml:space="preserve">）为主，可另附 </t>
    </r>
    <r>
      <rPr>
        <sz val="10"/>
        <color rgb="FF000000"/>
        <rFont val="微软雅黑"/>
        <family val="0"/>
        <charset val="1"/>
      </rPr>
      <t xml:space="preserve">IGS / X_T</t>
    </r>
  </si>
  <si>
    <t xml:space="preserve">必需</t>
  </si>
  <si>
    <r>
      <rPr>
        <sz val="10"/>
        <color rgb="FF000000"/>
        <rFont val="微软雅黑"/>
        <family val="2"/>
      </rPr>
      <t xml:space="preserve">开模、报价、</t>
    </r>
    <r>
      <rPr>
        <sz val="10"/>
        <color rgb="FF000000"/>
        <rFont val="微软雅黑"/>
        <family val="0"/>
        <charset val="1"/>
      </rPr>
      <t xml:space="preserve">DFM </t>
    </r>
    <r>
      <rPr>
        <sz val="10"/>
        <color rgb="FF000000"/>
        <rFont val="微软雅黑"/>
        <family val="2"/>
      </rPr>
      <t xml:space="preserve">评审都靠它。零件名称要和 </t>
    </r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清单的「零件编号」一致</t>
    </r>
  </si>
  <si>
    <r>
      <rPr>
        <b val="true"/>
        <sz val="10"/>
        <color rgb="FF000000"/>
        <rFont val="微软雅黑"/>
        <family val="0"/>
        <charset val="1"/>
      </rPr>
      <t xml:space="preserve">2D </t>
    </r>
    <r>
      <rPr>
        <b val="true"/>
        <sz val="10"/>
        <color rgb="FF000000"/>
        <rFont val="微软雅黑"/>
        <family val="2"/>
      </rPr>
      <t xml:space="preserve">图纸</t>
    </r>
  </si>
  <si>
    <t xml:space="preserve">PDF + DWG / DXF</t>
  </si>
  <si>
    <t xml:space="preserve">量产前必需</t>
  </si>
  <si>
    <r>
      <rPr>
        <sz val="10"/>
        <color rgb="FF000000"/>
        <rFont val="微软雅黑"/>
        <family val="2"/>
      </rPr>
      <t xml:space="preserve">标注关键尺寸和公差、外观面 </t>
    </r>
    <r>
      <rPr>
        <sz val="10"/>
        <color rgb="FF000000"/>
        <rFont val="微软雅黑"/>
        <family val="0"/>
        <charset val="1"/>
      </rPr>
      <t xml:space="preserve">A/B/C </t>
    </r>
    <r>
      <rPr>
        <sz val="10"/>
        <color rgb="FF000000"/>
        <rFont val="微软雅黑"/>
        <family val="2"/>
      </rPr>
      <t xml:space="preserve">分区、</t>
    </r>
    <r>
      <rPr>
        <sz val="10"/>
        <color rgb="FF000000"/>
        <rFont val="微软雅黑"/>
        <family val="0"/>
        <charset val="1"/>
      </rPr>
      <t xml:space="preserve">Logo / </t>
    </r>
    <r>
      <rPr>
        <sz val="10"/>
        <color rgb="FF000000"/>
        <rFont val="微软雅黑"/>
        <family val="2"/>
      </rPr>
      <t xml:space="preserve">丝印位置</t>
    </r>
  </si>
  <si>
    <r>
      <rPr>
        <b val="true"/>
        <sz val="10"/>
        <color rgb="FF000000"/>
        <rFont val="微软雅黑"/>
        <family val="2"/>
      </rPr>
      <t xml:space="preserve">效果图 </t>
    </r>
    <r>
      <rPr>
        <b val="true"/>
        <sz val="10"/>
        <color rgb="FF000000"/>
        <rFont val="微软雅黑"/>
        <family val="0"/>
        <charset val="1"/>
      </rPr>
      <t xml:space="preserve">/ CMF </t>
    </r>
    <r>
      <rPr>
        <b val="true"/>
        <sz val="10"/>
        <color rgb="FF000000"/>
        <rFont val="微软雅黑"/>
        <family val="2"/>
      </rPr>
      <t xml:space="preserve">标注图</t>
    </r>
  </si>
  <si>
    <t xml:space="preserve">JPG / PNG / PDF</t>
  </si>
  <si>
    <r>
      <rPr>
        <sz val="10"/>
        <color rgb="FF000000"/>
        <rFont val="微软雅黑"/>
        <family val="2"/>
      </rPr>
      <t xml:space="preserve">用引线标出每个零件的 </t>
    </r>
    <r>
      <rPr>
        <sz val="10"/>
        <color rgb="FF000000"/>
        <rFont val="微软雅黑"/>
        <family val="0"/>
        <charset val="1"/>
      </rPr>
      <t xml:space="preserve">CMF</t>
    </r>
    <r>
      <rPr>
        <sz val="10"/>
        <color rgb="FF000000"/>
        <rFont val="微软雅黑"/>
        <family val="2"/>
      </rPr>
      <t xml:space="preserve">，编号和 </t>
    </r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清单序号对应。渲染图只作视觉参考</t>
    </r>
  </si>
  <si>
    <t xml:space="preserve">颜色样</t>
  </si>
  <si>
    <r>
      <rPr>
        <sz val="10"/>
        <color rgb="FF000000"/>
        <rFont val="微软雅黑"/>
        <family val="2"/>
      </rPr>
      <t xml:space="preserve">实物色板 </t>
    </r>
    <r>
      <rPr>
        <sz val="10"/>
        <color rgb="FF000000"/>
        <rFont val="微软雅黑"/>
        <family val="0"/>
        <charset val="1"/>
      </rPr>
      <t xml:space="preserve">/ </t>
    </r>
    <r>
      <rPr>
        <sz val="10"/>
        <color rgb="FF000000"/>
        <rFont val="微软雅黑"/>
        <family val="2"/>
      </rPr>
      <t xml:space="preserve">实物样件</t>
    </r>
  </si>
  <si>
    <t xml:space="preserve">雾银、玫瑰金、灯圈各一份。没有实物时，先请厂家按效果图打样，再签样</t>
  </si>
  <si>
    <r>
      <rPr>
        <b val="true"/>
        <sz val="10"/>
        <color rgb="FF000000"/>
        <rFont val="微软雅黑"/>
        <family val="0"/>
        <charset val="1"/>
      </rPr>
      <t xml:space="preserve">Logo / </t>
    </r>
    <r>
      <rPr>
        <b val="true"/>
        <sz val="10"/>
        <color rgb="FF000000"/>
        <rFont val="微软雅黑"/>
        <family val="2"/>
      </rPr>
      <t xml:space="preserve">图文文件</t>
    </r>
  </si>
  <si>
    <r>
      <rPr>
        <sz val="10"/>
        <color rgb="FF000000"/>
        <rFont val="微软雅黑"/>
        <family val="0"/>
        <charset val="1"/>
      </rPr>
      <t xml:space="preserve">AI / PDF</t>
    </r>
    <r>
      <rPr>
        <sz val="10"/>
        <color rgb="FF000000"/>
        <rFont val="微软雅黑"/>
        <family val="2"/>
      </rPr>
      <t xml:space="preserve">（矢量）</t>
    </r>
    <r>
      <rPr>
        <sz val="10"/>
        <color rgb="FF000000"/>
        <rFont val="微软雅黑"/>
        <family val="0"/>
        <charset val="1"/>
      </rPr>
      <t xml:space="preserve">/ DXF</t>
    </r>
  </si>
  <si>
    <t xml:space="preserve">有图文时必需</t>
  </si>
  <si>
    <t xml:space="preserve">丝印、镭雕、移印要用矢量文件；不要用截图或低分辨率图片</t>
  </si>
  <si>
    <r>
      <rPr>
        <b val="true"/>
        <sz val="10"/>
        <color rgb="FF000000"/>
        <rFont val="微软雅黑"/>
        <family val="2"/>
      </rPr>
      <t xml:space="preserve">爆炸图 </t>
    </r>
    <r>
      <rPr>
        <b val="true"/>
        <sz val="10"/>
        <color rgb="FF000000"/>
        <rFont val="微软雅黑"/>
        <family val="0"/>
        <charset val="1"/>
      </rPr>
      <t xml:space="preserve">+ </t>
    </r>
    <r>
      <rPr>
        <b val="true"/>
        <sz val="10"/>
        <color rgb="FF000000"/>
        <rFont val="微软雅黑"/>
        <family val="2"/>
      </rPr>
      <t xml:space="preserve">零件清单（</t>
    </r>
    <r>
      <rPr>
        <b val="true"/>
        <sz val="10"/>
        <color rgb="FF000000"/>
        <rFont val="微软雅黑"/>
        <family val="0"/>
        <charset val="1"/>
      </rPr>
      <t xml:space="preserve">BOM</t>
    </r>
    <r>
      <rPr>
        <b val="true"/>
        <sz val="10"/>
        <color rgb="FF000000"/>
        <rFont val="微软雅黑"/>
        <family val="2"/>
      </rPr>
      <t xml:space="preserve">）</t>
    </r>
  </si>
  <si>
    <t xml:space="preserve">PDF / Excel</t>
  </si>
  <si>
    <t xml:space="preserve">建议</t>
  </si>
  <si>
    <t xml:space="preserve">让厂家看清装配关系和每台用量</t>
  </si>
  <si>
    <t xml:space="preserve">数量与时间</t>
  </si>
  <si>
    <r>
      <rPr>
        <sz val="10"/>
        <color rgb="FF000000"/>
        <rFont val="微软雅黑"/>
        <family val="2"/>
      </rPr>
      <t xml:space="preserve">写在 </t>
    </r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清单顶部</t>
    </r>
  </si>
  <si>
    <t xml:space="preserve">首批数量、年用量、打样数量、期望交样日期，会影响模具方案和报价</t>
  </si>
  <si>
    <t xml:space="preserve">包装与出货要求</t>
  </si>
  <si>
    <t xml:space="preserve">文字说明</t>
  </si>
  <si>
    <t xml:space="preserve">例如：玫瑰金高光件出货贴保护膜</t>
  </si>
  <si>
    <r>
      <rPr>
        <b val="true"/>
        <sz val="10"/>
        <color rgb="FF000000"/>
        <rFont val="微软雅黑"/>
        <family val="2"/>
      </rPr>
      <t xml:space="preserve">安规 </t>
    </r>
    <r>
      <rPr>
        <b val="true"/>
        <sz val="10"/>
        <color rgb="FF000000"/>
        <rFont val="微软雅黑"/>
        <family val="0"/>
        <charset val="1"/>
      </rPr>
      <t xml:space="preserve">/ </t>
    </r>
    <r>
      <rPr>
        <b val="true"/>
        <sz val="10"/>
        <color rgb="FF000000"/>
        <rFont val="微软雅黑"/>
        <family val="2"/>
      </rPr>
      <t xml:space="preserve">认证要求</t>
    </r>
  </si>
  <si>
    <t xml:space="preserve">如适用</t>
  </si>
  <si>
    <r>
      <rPr>
        <sz val="10"/>
        <color rgb="FF000000"/>
        <rFont val="微软雅黑"/>
        <family val="2"/>
      </rPr>
      <t xml:space="preserve">例如：是否需要 </t>
    </r>
    <r>
      <rPr>
        <sz val="10"/>
        <color rgb="FF000000"/>
        <rFont val="微软雅黑"/>
        <family val="0"/>
        <charset val="1"/>
      </rPr>
      <t xml:space="preserve">CCC</t>
    </r>
    <r>
      <rPr>
        <sz val="10"/>
        <color rgb="FF000000"/>
        <rFont val="微软雅黑"/>
        <family val="2"/>
      </rPr>
      <t xml:space="preserve">、外壳阻燃等级。会影响材料选择</t>
    </r>
  </si>
  <si>
    <t xml:space="preserve">签样记录</t>
  </si>
  <si>
    <t xml:space="preserve">色板、限度样的签字页</t>
  </si>
  <si>
    <t xml:space="preserve">打样后</t>
  </si>
  <si>
    <t xml:space="preserve">双方签字，作为量产验收依据</t>
  </si>
  <si>
    <t xml:space="preserve">发送前自检</t>
  </si>
  <si>
    <r>
      <rPr>
        <sz val="10"/>
        <color rgb="FF000000"/>
        <rFont val="微软雅黑"/>
        <family val="2"/>
      </rPr>
      <t xml:space="preserve">每个外观零件都有一行，零件编号和 </t>
    </r>
    <r>
      <rPr>
        <sz val="10"/>
        <color rgb="FF000000"/>
        <rFont val="微软雅黑"/>
        <family val="0"/>
        <charset val="1"/>
      </rPr>
      <t xml:space="preserve">3D </t>
    </r>
    <r>
      <rPr>
        <sz val="10"/>
        <color rgb="FF000000"/>
        <rFont val="微软雅黑"/>
        <family val="2"/>
      </rPr>
      <t xml:space="preserve">文件里的名称一致</t>
    </r>
  </si>
  <si>
    <r>
      <rPr>
        <sz val="10"/>
        <color rgb="FF000000"/>
        <rFont val="微软雅黑"/>
        <family val="2"/>
      </rPr>
      <t xml:space="preserve">「</t>
    </r>
    <r>
      <rPr>
        <sz val="10"/>
        <color rgb="FF000000"/>
        <rFont val="微软雅黑"/>
        <family val="0"/>
        <charset val="1"/>
      </rPr>
      <t xml:space="preserve">CMF</t>
    </r>
    <r>
      <rPr>
        <sz val="10"/>
        <color rgb="FF000000"/>
        <rFont val="微软雅黑"/>
        <family val="2"/>
      </rPr>
      <t xml:space="preserve">清单」和「测试要求」里的【待填】都已填写，或写明「请厂家建议」</t>
    </r>
  </si>
  <si>
    <t xml:space="preserve">版本号和编制日期已更新</t>
  </si>
  <si>
    <r>
      <rPr>
        <sz val="10"/>
        <color rgb="FF000000"/>
        <rFont val="微软雅黑"/>
        <family val="2"/>
      </rPr>
      <t xml:space="preserve">效果图上的编号和 </t>
    </r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清单序号一致</t>
    </r>
  </si>
  <si>
    <r>
      <rPr>
        <sz val="10"/>
        <color rgb="FF000000"/>
        <rFont val="微软雅黑"/>
        <family val="0"/>
        <charset val="1"/>
      </rPr>
      <t xml:space="preserve">3D </t>
    </r>
    <r>
      <rPr>
        <sz val="10"/>
        <color rgb="FF000000"/>
        <rFont val="微软雅黑"/>
        <family val="2"/>
      </rPr>
      <t xml:space="preserve">文件发出前，确认是否需要先和厂家签保密协议（</t>
    </r>
    <r>
      <rPr>
        <sz val="10"/>
        <color rgb="FF000000"/>
        <rFont val="微软雅黑"/>
        <family val="0"/>
        <charset val="1"/>
      </rPr>
      <t xml:space="preserve">NDA</t>
    </r>
    <r>
      <rPr>
        <sz val="10"/>
        <color rgb="FF000000"/>
        <rFont val="微软雅黑"/>
        <family val="2"/>
      </rPr>
      <t xml:space="preserve">）</t>
    </r>
  </si>
  <si>
    <t xml:space="preserve">工艺参考（和厂家沟通时查用）</t>
  </si>
  <si>
    <r>
      <rPr>
        <b val="true"/>
        <sz val="11"/>
        <color rgb="FF1F3A5F"/>
        <rFont val="微软雅黑"/>
        <family val="0"/>
        <charset val="1"/>
      </rPr>
      <t xml:space="preserve">A. VDI 3400 </t>
    </r>
    <r>
      <rPr>
        <b val="true"/>
        <sz val="11"/>
        <color rgb="FF1F3A5F"/>
        <rFont val="微软雅黑"/>
        <family val="2"/>
      </rPr>
      <t xml:space="preserve">火花纹等级与粗糙度　（来源：</t>
    </r>
    <r>
      <rPr>
        <b val="true"/>
        <sz val="11"/>
        <color rgb="FF1F3A5F"/>
        <rFont val="微软雅黑"/>
        <family val="0"/>
        <charset val="1"/>
      </rPr>
      <t xml:space="preserve">S27</t>
    </r>
    <r>
      <rPr>
        <b val="true"/>
        <sz val="11"/>
        <color rgb="FF1F3A5F"/>
        <rFont val="微软雅黑"/>
        <family val="2"/>
      </rPr>
      <t xml:space="preserve">）</t>
    </r>
  </si>
  <si>
    <r>
      <rPr>
        <b val="true"/>
        <sz val="10"/>
        <color rgb="FFFFFFFF"/>
        <rFont val="微软雅黑"/>
        <family val="0"/>
        <charset val="1"/>
      </rPr>
      <t xml:space="preserve">VDI </t>
    </r>
    <r>
      <rPr>
        <b val="true"/>
        <sz val="10"/>
        <color rgb="FFFFFFFF"/>
        <rFont val="微软雅黑"/>
        <family val="2"/>
      </rPr>
      <t xml:space="preserve">等级</t>
    </r>
  </si>
  <si>
    <r>
      <rPr>
        <b val="true"/>
        <sz val="10"/>
        <color rgb="FFFFFFFF"/>
        <rFont val="微软雅黑"/>
        <family val="0"/>
        <charset val="1"/>
      </rPr>
      <t xml:space="preserve">Ra</t>
    </r>
    <r>
      <rPr>
        <b val="true"/>
        <sz val="10"/>
        <color rgb="FFFFFFFF"/>
        <rFont val="微软雅黑"/>
        <family val="2"/>
      </rPr>
      <t xml:space="preserve">（</t>
    </r>
    <r>
      <rPr>
        <b val="true"/>
        <sz val="10"/>
        <color rgb="FFFFFFFF"/>
        <rFont val="微软雅黑"/>
        <family val="0"/>
        <charset val="1"/>
      </rPr>
      <t xml:space="preserve">μm</t>
    </r>
    <r>
      <rPr>
        <b val="true"/>
        <sz val="10"/>
        <color rgb="FFFFFFFF"/>
        <rFont val="微软雅黑"/>
        <family val="2"/>
      </rPr>
      <t xml:space="preserve">，换算近似值）</t>
    </r>
  </si>
  <si>
    <t xml:space="preserve">VDI 12</t>
  </si>
  <si>
    <t xml:space="preserve">0.40</t>
  </si>
  <si>
    <t xml:space="preserve">VDI 15</t>
  </si>
  <si>
    <t xml:space="preserve">0.56</t>
  </si>
  <si>
    <t xml:space="preserve">VDI 18</t>
  </si>
  <si>
    <t xml:space="preserve">0.80</t>
  </si>
  <si>
    <t xml:space="preserve">VDI 21</t>
  </si>
  <si>
    <t xml:space="preserve">1.12</t>
  </si>
  <si>
    <t xml:space="preserve">VDI 24</t>
  </si>
  <si>
    <t xml:space="preserve">1.60</t>
  </si>
  <si>
    <t xml:space="preserve">VDI 27</t>
  </si>
  <si>
    <t xml:space="preserve">2.24</t>
  </si>
  <si>
    <t xml:space="preserve">VDI 30</t>
  </si>
  <si>
    <t xml:space="preserve">3.15</t>
  </si>
  <si>
    <t xml:space="preserve">VDI 33</t>
  </si>
  <si>
    <t xml:space="preserve">4.50</t>
  </si>
  <si>
    <t xml:space="preserve">VDI 36</t>
  </si>
  <si>
    <t xml:space="preserve">6.30</t>
  </si>
  <si>
    <t xml:space="preserve">VDI 39</t>
  </si>
  <si>
    <t xml:space="preserve">9.00</t>
  </si>
  <si>
    <t xml:space="preserve">VDI 42</t>
  </si>
  <si>
    <t xml:space="preserve">12.50</t>
  </si>
  <si>
    <t xml:space="preserve">VDI 45</t>
  </si>
  <si>
    <t xml:space="preserve">18.00</t>
  </si>
  <si>
    <r>
      <rPr>
        <sz val="10"/>
        <color rgb="FF595959"/>
        <rFont val="微软雅黑"/>
        <family val="2"/>
      </rPr>
      <t xml:space="preserve">说明：数字越大越粗糙。</t>
    </r>
    <r>
      <rPr>
        <sz val="10"/>
        <color rgb="FF595959"/>
        <rFont val="微软雅黑"/>
        <family val="0"/>
        <charset val="1"/>
      </rPr>
      <t xml:space="preserve">VDI 39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42 </t>
    </r>
    <r>
      <rPr>
        <sz val="10"/>
        <color rgb="FF595959"/>
        <rFont val="微软雅黑"/>
        <family val="2"/>
      </rPr>
      <t xml:space="preserve">的数值只找到一个来源。</t>
    </r>
    <r>
      <rPr>
        <sz val="10"/>
        <color rgb="FF595959"/>
        <rFont val="微软雅黑"/>
        <family val="0"/>
        <charset val="1"/>
      </rPr>
      <t xml:space="preserve">VDI 12 </t>
    </r>
    <r>
      <rPr>
        <sz val="10"/>
        <color rgb="FF595959"/>
        <rFont val="微软雅黑"/>
        <family val="2"/>
      </rPr>
      <t xml:space="preserve">大致相当于 </t>
    </r>
    <r>
      <rPr>
        <sz val="10"/>
        <color rgb="FF595959"/>
        <rFont val="微软雅黑"/>
        <family val="0"/>
        <charset val="1"/>
      </rPr>
      <t xml:space="preserve">SPI C-1</t>
    </r>
    <r>
      <rPr>
        <sz val="10"/>
        <color rgb="FF595959"/>
        <rFont val="微软雅黑"/>
        <family val="2"/>
      </rPr>
      <t xml:space="preserve">。关键表面建议在图纸上直接标 </t>
    </r>
    <r>
      <rPr>
        <sz val="10"/>
        <color rgb="FF595959"/>
        <rFont val="微软雅黑"/>
        <family val="0"/>
        <charset val="1"/>
      </rPr>
      <t xml:space="preserve">Ra </t>
    </r>
    <r>
      <rPr>
        <sz val="10"/>
        <color rgb="FF595959"/>
        <rFont val="微软雅黑"/>
        <family val="2"/>
      </rPr>
      <t xml:space="preserve">值，</t>
    </r>
    <r>
      <rPr>
        <sz val="10"/>
        <color rgb="FF595959"/>
        <rFont val="微软雅黑"/>
        <family val="0"/>
        <charset val="1"/>
      </rPr>
      <t xml:space="preserve">VDI </t>
    </r>
    <r>
      <rPr>
        <sz val="10"/>
        <color rgb="FF595959"/>
        <rFont val="微软雅黑"/>
        <family val="2"/>
      </rPr>
      <t xml:space="preserve">编号作为视觉参考。</t>
    </r>
  </si>
  <si>
    <r>
      <rPr>
        <b val="true"/>
        <sz val="11"/>
        <color rgb="FF1F3A5F"/>
        <rFont val="微软雅黑"/>
        <family val="0"/>
        <charset val="1"/>
      </rPr>
      <t xml:space="preserve">B. SPI </t>
    </r>
    <r>
      <rPr>
        <b val="true"/>
        <sz val="11"/>
        <color rgb="FF1F3A5F"/>
        <rFont val="微软雅黑"/>
        <family val="2"/>
      </rPr>
      <t xml:space="preserve">模具抛光等级　（来源：</t>
    </r>
    <r>
      <rPr>
        <b val="true"/>
        <sz val="11"/>
        <color rgb="FF1F3A5F"/>
        <rFont val="微软雅黑"/>
        <family val="0"/>
        <charset val="1"/>
      </rPr>
      <t xml:space="preserve">S28</t>
    </r>
    <r>
      <rPr>
        <b val="true"/>
        <sz val="11"/>
        <color rgb="FF1F3A5F"/>
        <rFont val="微软雅黑"/>
        <family val="2"/>
      </rPr>
      <t xml:space="preserve">）</t>
    </r>
  </si>
  <si>
    <t xml:space="preserve">等级</t>
  </si>
  <si>
    <t xml:space="preserve">加工方式</t>
  </si>
  <si>
    <r>
      <rPr>
        <b val="true"/>
        <sz val="10"/>
        <color rgb="FFFFFFFF"/>
        <rFont val="微软雅黑"/>
        <family val="0"/>
        <charset val="1"/>
      </rPr>
      <t xml:space="preserve">Ra</t>
    </r>
    <r>
      <rPr>
        <b val="true"/>
        <sz val="10"/>
        <color rgb="FFFFFFFF"/>
        <rFont val="微软雅黑"/>
        <family val="2"/>
      </rPr>
      <t xml:space="preserve">（</t>
    </r>
    <r>
      <rPr>
        <b val="true"/>
        <sz val="10"/>
        <color rgb="FFFFFFFF"/>
        <rFont val="微软雅黑"/>
        <family val="0"/>
        <charset val="1"/>
      </rPr>
      <t xml:space="preserve">μm</t>
    </r>
    <r>
      <rPr>
        <b val="true"/>
        <sz val="10"/>
        <color rgb="FFFFFFFF"/>
        <rFont val="微软雅黑"/>
        <family val="2"/>
      </rPr>
      <t xml:space="preserve">，主流资料范围）</t>
    </r>
  </si>
  <si>
    <t xml:space="preserve">效果</t>
  </si>
  <si>
    <t xml:space="preserve">A-1</t>
  </si>
  <si>
    <r>
      <rPr>
        <sz val="10"/>
        <color rgb="FF000000"/>
        <rFont val="微软雅黑"/>
        <family val="2"/>
      </rPr>
      <t xml:space="preserve">钻石膏 </t>
    </r>
    <r>
      <rPr>
        <sz val="10"/>
        <color rgb="FF000000"/>
        <rFont val="微软雅黑"/>
        <family val="0"/>
        <charset val="1"/>
      </rPr>
      <t xml:space="preserve">Grade #3</t>
    </r>
    <r>
      <rPr>
        <sz val="10"/>
        <color rgb="FF000000"/>
        <rFont val="微软雅黑"/>
        <family val="2"/>
      </rPr>
      <t xml:space="preserve">（</t>
    </r>
    <r>
      <rPr>
        <sz val="10"/>
        <color rgb="FF000000"/>
        <rFont val="微软雅黑"/>
        <family val="0"/>
        <charset val="1"/>
      </rPr>
      <t xml:space="preserve">6000#</t>
    </r>
    <r>
      <rPr>
        <sz val="10"/>
        <color rgb="FF000000"/>
        <rFont val="微软雅黑"/>
        <family val="2"/>
      </rPr>
      <t xml:space="preserve">）</t>
    </r>
  </si>
  <si>
    <t xml:space="preserve">0.012–0.025</t>
  </si>
  <si>
    <t xml:space="preserve">镜面</t>
  </si>
  <si>
    <t xml:space="preserve">A-2</t>
  </si>
  <si>
    <r>
      <rPr>
        <sz val="10"/>
        <color rgb="FF000000"/>
        <rFont val="微软雅黑"/>
        <family val="2"/>
      </rPr>
      <t xml:space="preserve">钻石膏 </t>
    </r>
    <r>
      <rPr>
        <sz val="10"/>
        <color rgb="FF000000"/>
        <rFont val="微软雅黑"/>
        <family val="0"/>
        <charset val="1"/>
      </rPr>
      <t xml:space="preserve">Grade #6</t>
    </r>
  </si>
  <si>
    <t xml:space="preserve">0.025–0.05</t>
  </si>
  <si>
    <t xml:space="preserve">A-3</t>
  </si>
  <si>
    <r>
      <rPr>
        <sz val="10"/>
        <color rgb="FF000000"/>
        <rFont val="微软雅黑"/>
        <family val="2"/>
      </rPr>
      <t xml:space="preserve">钻石膏 </t>
    </r>
    <r>
      <rPr>
        <sz val="10"/>
        <color rgb="FF000000"/>
        <rFont val="微软雅黑"/>
        <family val="0"/>
        <charset val="1"/>
      </rPr>
      <t xml:space="preserve">Grade #15</t>
    </r>
    <r>
      <rPr>
        <sz val="10"/>
        <color rgb="FF000000"/>
        <rFont val="微软雅黑"/>
        <family val="2"/>
      </rPr>
      <t xml:space="preserve">（</t>
    </r>
    <r>
      <rPr>
        <sz val="10"/>
        <color rgb="FF000000"/>
        <rFont val="微软雅黑"/>
        <family val="0"/>
        <charset val="1"/>
      </rPr>
      <t xml:space="preserve">1200#</t>
    </r>
    <r>
      <rPr>
        <sz val="10"/>
        <color rgb="FF000000"/>
        <rFont val="微软雅黑"/>
        <family val="2"/>
      </rPr>
      <t xml:space="preserve">）</t>
    </r>
  </si>
  <si>
    <t xml:space="preserve">0.05–0.10</t>
  </si>
  <si>
    <t xml:space="preserve">高光</t>
  </si>
  <si>
    <t xml:space="preserve">B-1</t>
  </si>
  <si>
    <r>
      <rPr>
        <sz val="10"/>
        <color rgb="FF000000"/>
        <rFont val="微软雅黑"/>
        <family val="0"/>
        <charset val="1"/>
      </rPr>
      <t xml:space="preserve">600# </t>
    </r>
    <r>
      <rPr>
        <sz val="10"/>
        <color rgb="FF000000"/>
        <rFont val="微软雅黑"/>
        <family val="2"/>
      </rPr>
      <t xml:space="preserve">砂纸</t>
    </r>
  </si>
  <si>
    <t xml:space="preserve">半光</t>
  </si>
  <si>
    <t xml:space="preserve">B-2</t>
  </si>
  <si>
    <r>
      <rPr>
        <sz val="10"/>
        <color rgb="FF000000"/>
        <rFont val="微软雅黑"/>
        <family val="0"/>
        <charset val="1"/>
      </rPr>
      <t xml:space="preserve">400# </t>
    </r>
    <r>
      <rPr>
        <sz val="10"/>
        <color rgb="FF000000"/>
        <rFont val="微软雅黑"/>
        <family val="2"/>
      </rPr>
      <t xml:space="preserve">砂纸</t>
    </r>
  </si>
  <si>
    <t xml:space="preserve">0.10–0.15</t>
  </si>
  <si>
    <t xml:space="preserve">B-3</t>
  </si>
  <si>
    <r>
      <rPr>
        <sz val="10"/>
        <color rgb="FF000000"/>
        <rFont val="微软雅黑"/>
        <family val="0"/>
        <charset val="1"/>
      </rPr>
      <t xml:space="preserve">320# </t>
    </r>
    <r>
      <rPr>
        <sz val="10"/>
        <color rgb="FF000000"/>
        <rFont val="微软雅黑"/>
        <family val="2"/>
      </rPr>
      <t xml:space="preserve">砂纸</t>
    </r>
  </si>
  <si>
    <t xml:space="preserve">0.28–0.32</t>
  </si>
  <si>
    <t xml:space="preserve">C-1</t>
  </si>
  <si>
    <r>
      <rPr>
        <sz val="10"/>
        <color rgb="FF000000"/>
        <rFont val="微软雅黑"/>
        <family val="0"/>
        <charset val="1"/>
      </rPr>
      <t xml:space="preserve">600# </t>
    </r>
    <r>
      <rPr>
        <sz val="10"/>
        <color rgb="FF000000"/>
        <rFont val="微软雅黑"/>
        <family val="2"/>
      </rPr>
      <t xml:space="preserve">油石</t>
    </r>
  </si>
  <si>
    <t xml:space="preserve">0.35–0.40</t>
  </si>
  <si>
    <t xml:space="preserve">哑光</t>
  </si>
  <si>
    <t xml:space="preserve">C-2</t>
  </si>
  <si>
    <r>
      <rPr>
        <sz val="10"/>
        <color rgb="FF000000"/>
        <rFont val="微软雅黑"/>
        <family val="0"/>
        <charset val="1"/>
      </rPr>
      <t xml:space="preserve">400# </t>
    </r>
    <r>
      <rPr>
        <sz val="10"/>
        <color rgb="FF000000"/>
        <rFont val="微软雅黑"/>
        <family val="2"/>
      </rPr>
      <t xml:space="preserve">油石</t>
    </r>
  </si>
  <si>
    <t xml:space="preserve">0.45–0.55</t>
  </si>
  <si>
    <t xml:space="preserve">C-3</t>
  </si>
  <si>
    <r>
      <rPr>
        <sz val="10"/>
        <color rgb="FF000000"/>
        <rFont val="微软雅黑"/>
        <family val="0"/>
        <charset val="1"/>
      </rPr>
      <t xml:space="preserve">320# </t>
    </r>
    <r>
      <rPr>
        <sz val="10"/>
        <color rgb="FF000000"/>
        <rFont val="微软雅黑"/>
        <family val="2"/>
      </rPr>
      <t xml:space="preserve">油石</t>
    </r>
  </si>
  <si>
    <t xml:space="preserve">0.63–0.70</t>
  </si>
  <si>
    <t xml:space="preserve">D-1</t>
  </si>
  <si>
    <t xml:space="preserve">玻璃珠干喷</t>
  </si>
  <si>
    <t xml:space="preserve">0.80–1.00</t>
  </si>
  <si>
    <t xml:space="preserve">缎面</t>
  </si>
  <si>
    <t xml:space="preserve">D-2</t>
  </si>
  <si>
    <r>
      <rPr>
        <sz val="10"/>
        <color rgb="FF000000"/>
        <rFont val="微软雅黑"/>
        <family val="0"/>
        <charset val="1"/>
      </rPr>
      <t xml:space="preserve">#240 </t>
    </r>
    <r>
      <rPr>
        <sz val="10"/>
        <color rgb="FF000000"/>
        <rFont val="微软雅黑"/>
        <family val="2"/>
      </rPr>
      <t xml:space="preserve">氧化铝干喷</t>
    </r>
  </si>
  <si>
    <t xml:space="preserve">1.00–2.80</t>
  </si>
  <si>
    <t xml:space="preserve">暗哑</t>
  </si>
  <si>
    <t xml:space="preserve">D-3</t>
  </si>
  <si>
    <r>
      <rPr>
        <sz val="10"/>
        <color rgb="FF000000"/>
        <rFont val="微软雅黑"/>
        <family val="0"/>
        <charset val="1"/>
      </rPr>
      <t xml:space="preserve">#24 </t>
    </r>
    <r>
      <rPr>
        <sz val="10"/>
        <color rgb="FF000000"/>
        <rFont val="微软雅黑"/>
        <family val="2"/>
      </rPr>
      <t xml:space="preserve">氧化铝干喷</t>
    </r>
  </si>
  <si>
    <t xml:space="preserve">3.20–18.0</t>
  </si>
  <si>
    <t xml:space="preserve">粗糙</t>
  </si>
  <si>
    <t xml:space="preserve">说明：各资料的数值略有出入，这里取主流范围。最终以模具厂的样板为准。</t>
  </si>
  <si>
    <r>
      <rPr>
        <b val="true"/>
        <sz val="11"/>
        <color rgb="FF1F3A5F"/>
        <rFont val="微软雅黑"/>
        <family val="0"/>
        <charset val="1"/>
      </rPr>
      <t xml:space="preserve">C. </t>
    </r>
    <r>
      <rPr>
        <b val="true"/>
        <sz val="11"/>
        <color rgb="FF1F3A5F"/>
        <rFont val="微软雅黑"/>
        <family val="2"/>
      </rPr>
      <t xml:space="preserve">有纹理表面的拔模角（经验值）　（来源：</t>
    </r>
    <r>
      <rPr>
        <b val="true"/>
        <sz val="11"/>
        <color rgb="FF1F3A5F"/>
        <rFont val="微软雅黑"/>
        <family val="0"/>
        <charset val="1"/>
      </rPr>
      <t xml:space="preserve">S29</t>
    </r>
    <r>
      <rPr>
        <b val="true"/>
        <sz val="11"/>
        <color rgb="FF1F3A5F"/>
        <rFont val="微软雅黑"/>
        <family val="2"/>
      </rPr>
      <t xml:space="preserve">）</t>
    </r>
  </si>
  <si>
    <r>
      <rPr>
        <sz val="10"/>
        <color rgb="FF595959"/>
        <rFont val="微软雅黑"/>
        <family val="2"/>
      </rPr>
      <t xml:space="preserve">① 每 </t>
    </r>
    <r>
      <rPr>
        <sz val="10"/>
        <color rgb="FF595959"/>
        <rFont val="微软雅黑"/>
        <family val="0"/>
        <charset val="1"/>
      </rPr>
      <t xml:space="preserve">0.025 mm</t>
    </r>
    <r>
      <rPr>
        <sz val="10"/>
        <color rgb="FF595959"/>
        <rFont val="微软雅黑"/>
        <family val="2"/>
      </rPr>
      <t xml:space="preserve">（</t>
    </r>
    <r>
      <rPr>
        <sz val="10"/>
        <color rgb="FF595959"/>
        <rFont val="微软雅黑"/>
        <family val="0"/>
        <charset val="1"/>
      </rPr>
      <t xml:space="preserve">0.001 </t>
    </r>
    <r>
      <rPr>
        <sz val="10"/>
        <color rgb="FF595959"/>
        <rFont val="微软雅黑"/>
        <family val="2"/>
      </rPr>
      <t xml:space="preserve">英寸）纹深，在基础拔模角之外再加约 </t>
    </r>
    <r>
      <rPr>
        <sz val="10"/>
        <color rgb="FF595959"/>
        <rFont val="微软雅黑"/>
        <family val="0"/>
        <charset val="1"/>
      </rPr>
      <t xml:space="preserve">1°–1.5°</t>
    </r>
    <r>
      <rPr>
        <sz val="10"/>
        <color rgb="FF595959"/>
        <rFont val="微软雅黑"/>
        <family val="2"/>
      </rPr>
      <t xml:space="preserve">（资料之间不一致：多数写 </t>
    </r>
    <r>
      <rPr>
        <sz val="10"/>
        <color rgb="FF595959"/>
        <rFont val="微软雅黑"/>
        <family val="0"/>
        <charset val="1"/>
      </rPr>
      <t xml:space="preserve">1.5°</t>
    </r>
    <r>
      <rPr>
        <sz val="10"/>
        <color rgb="FF595959"/>
        <rFont val="微软雅黑"/>
        <family val="2"/>
      </rPr>
      <t xml:space="preserve">，也有写 </t>
    </r>
    <r>
      <rPr>
        <sz val="10"/>
        <color rgb="FF595959"/>
        <rFont val="微软雅黑"/>
        <family val="0"/>
        <charset val="1"/>
      </rPr>
      <t xml:space="preserve">1°</t>
    </r>
    <r>
      <rPr>
        <sz val="10"/>
        <color rgb="FF595959"/>
        <rFont val="微软雅黑"/>
        <family val="2"/>
      </rPr>
      <t xml:space="preserve">）。
② 例：</t>
    </r>
    <r>
      <rPr>
        <sz val="10"/>
        <color rgb="FF595959"/>
        <rFont val="微软雅黑"/>
        <family val="0"/>
        <charset val="1"/>
      </rPr>
      <t xml:space="preserve">MT-11010</t>
    </r>
    <r>
      <rPr>
        <sz val="10"/>
        <color rgb="FF595959"/>
        <rFont val="微软雅黑"/>
        <family val="2"/>
      </rPr>
      <t xml:space="preserve">（纹深 </t>
    </r>
    <r>
      <rPr>
        <sz val="10"/>
        <color rgb="FF595959"/>
        <rFont val="微软雅黑"/>
        <family val="0"/>
        <charset val="1"/>
      </rPr>
      <t xml:space="preserve">0.001 </t>
    </r>
    <r>
      <rPr>
        <sz val="10"/>
        <color rgb="FF595959"/>
        <rFont val="微软雅黑"/>
        <family val="2"/>
      </rPr>
      <t xml:space="preserve">英寸）需 ≥ </t>
    </r>
    <r>
      <rPr>
        <sz val="10"/>
        <color rgb="FF595959"/>
        <rFont val="微软雅黑"/>
        <family val="0"/>
        <charset val="1"/>
      </rPr>
      <t xml:space="preserve">1.5°</t>
    </r>
    <r>
      <rPr>
        <sz val="10"/>
        <color rgb="FF595959"/>
        <rFont val="微软雅黑"/>
        <family val="2"/>
      </rPr>
      <t xml:space="preserve">；</t>
    </r>
    <r>
      <rPr>
        <sz val="10"/>
        <color rgb="FF595959"/>
        <rFont val="微软雅黑"/>
        <family val="0"/>
        <charset val="1"/>
      </rPr>
      <t xml:space="preserve">MT-11020</t>
    </r>
    <r>
      <rPr>
        <sz val="10"/>
        <color rgb="FF595959"/>
        <rFont val="微软雅黑"/>
        <family val="2"/>
      </rPr>
      <t xml:space="preserve">（纹深 </t>
    </r>
    <r>
      <rPr>
        <sz val="10"/>
        <color rgb="FF595959"/>
        <rFont val="微软雅黑"/>
        <family val="0"/>
        <charset val="1"/>
      </rPr>
      <t xml:space="preserve">0.0015 </t>
    </r>
    <r>
      <rPr>
        <sz val="10"/>
        <color rgb="FF595959"/>
        <rFont val="微软雅黑"/>
        <family val="2"/>
      </rPr>
      <t xml:space="preserve">英寸）需 ≥ </t>
    </r>
    <r>
      <rPr>
        <sz val="10"/>
        <color rgb="FF595959"/>
        <rFont val="微软雅黑"/>
        <family val="0"/>
        <charset val="1"/>
      </rPr>
      <t xml:space="preserve">2.25°</t>
    </r>
    <r>
      <rPr>
        <sz val="10"/>
        <color rgb="FF595959"/>
        <rFont val="微软雅黑"/>
        <family val="2"/>
      </rPr>
      <t xml:space="preserve">（</t>
    </r>
    <r>
      <rPr>
        <sz val="10"/>
        <color rgb="FF595959"/>
        <rFont val="微软雅黑"/>
        <family val="0"/>
        <charset val="1"/>
      </rPr>
      <t xml:space="preserve">Boulder Engineering </t>
    </r>
    <r>
      <rPr>
        <sz val="10"/>
        <color rgb="FF595959"/>
        <rFont val="微软雅黑"/>
        <family val="2"/>
      </rPr>
      <t xml:space="preserve">资料）。
③ 最终以咬花厂针对具体纹号给出的建议为准。</t>
    </r>
  </si>
  <si>
    <r>
      <rPr>
        <b val="true"/>
        <sz val="11"/>
        <color rgb="FF1F3A5F"/>
        <rFont val="微软雅黑"/>
        <family val="0"/>
        <charset val="1"/>
      </rPr>
      <t xml:space="preserve">D. </t>
    </r>
    <r>
      <rPr>
        <b val="true"/>
        <sz val="11"/>
        <color rgb="FF1F3A5F"/>
        <rFont val="微软雅黑"/>
        <family val="2"/>
      </rPr>
      <t xml:space="preserve">铝合金牌号与阳极外观　（来源：</t>
    </r>
    <r>
      <rPr>
        <b val="true"/>
        <sz val="11"/>
        <color rgb="FF1F3A5F"/>
        <rFont val="微软雅黑"/>
        <family val="0"/>
        <charset val="1"/>
      </rPr>
      <t xml:space="preserve">S30</t>
    </r>
    <r>
      <rPr>
        <b val="true"/>
        <sz val="11"/>
        <color rgb="FF1F3A5F"/>
        <rFont val="微软雅黑"/>
        <family val="2"/>
      </rPr>
      <t xml:space="preserve">）</t>
    </r>
  </si>
  <si>
    <t xml:space="preserve">牌号</t>
  </si>
  <si>
    <t xml:space="preserve">阳极后的外观特点</t>
  </si>
  <si>
    <t xml:space="preserve">6063</t>
  </si>
  <si>
    <t xml:space="preserve">合金元素少，阳极后外观更干净、均匀；常用于型材</t>
  </si>
  <si>
    <t xml:space="preserve">6061</t>
  </si>
  <si>
    <r>
      <rPr>
        <sz val="10"/>
        <color rgb="FF000000"/>
        <rFont val="微软雅黑"/>
        <family val="2"/>
      </rPr>
      <t xml:space="preserve">硅等元素含量较高，阳极后颜色往往比 </t>
    </r>
    <r>
      <rPr>
        <sz val="10"/>
        <color rgb="FF000000"/>
        <rFont val="微软雅黑"/>
        <family val="0"/>
        <charset val="1"/>
      </rPr>
      <t xml:space="preserve">6063 </t>
    </r>
    <r>
      <rPr>
        <sz val="10"/>
        <color rgb="FF000000"/>
        <rFont val="微软雅黑"/>
        <family val="2"/>
      </rPr>
      <t xml:space="preserve">深、偏灰（行业资料 </t>
    </r>
    <r>
      <rPr>
        <sz val="10"/>
        <color rgb="FF000000"/>
        <rFont val="微软雅黑"/>
        <family val="0"/>
        <charset val="1"/>
      </rPr>
      <t xml:space="preserve">+ </t>
    </r>
    <r>
      <rPr>
        <sz val="10"/>
        <color rgb="FF000000"/>
        <rFont val="微软雅黑"/>
        <family val="2"/>
      </rPr>
      <t xml:space="preserve">论坛经验）</t>
    </r>
  </si>
  <si>
    <t xml:space="preserve">5052</t>
  </si>
  <si>
    <r>
      <rPr>
        <sz val="10"/>
        <color rgb="FF000000"/>
        <rFont val="微软雅黑"/>
        <family val="2"/>
      </rPr>
      <t xml:space="preserve">膜层较厚时阳极后偏黄；不宜和 </t>
    </r>
    <r>
      <rPr>
        <sz val="10"/>
        <color rgb="FF000000"/>
        <rFont val="微软雅黑"/>
        <family val="0"/>
        <charset val="1"/>
      </rPr>
      <t xml:space="preserve">6 </t>
    </r>
    <r>
      <rPr>
        <sz val="10"/>
        <color rgb="FF000000"/>
        <rFont val="微软雅黑"/>
        <family val="2"/>
      </rPr>
      <t xml:space="preserve">系件放在同一个可见组件里配色</t>
    </r>
  </si>
  <si>
    <t xml:space="preserve">结论：顶部栅栏和底部增高圈用同一牌号，并同槽同批阳极。最好让阳极厂用实际牌号和工艺做试片对比。</t>
  </si>
  <si>
    <r>
      <rPr>
        <b val="true"/>
        <sz val="11"/>
        <color rgb="FF1F3A5F"/>
        <rFont val="微软雅黑"/>
        <family val="0"/>
        <charset val="1"/>
      </rPr>
      <t xml:space="preserve">E. </t>
    </r>
    <r>
      <rPr>
        <b val="true"/>
        <sz val="11"/>
        <color rgb="FF1F3A5F"/>
        <rFont val="微软雅黑"/>
        <family val="2"/>
      </rPr>
      <t xml:space="preserve">阳极批次色差的常见原因与对策　（来源：</t>
    </r>
    <r>
      <rPr>
        <b val="true"/>
        <sz val="11"/>
        <color rgb="FF1F3A5F"/>
        <rFont val="微软雅黑"/>
        <family val="0"/>
        <charset val="1"/>
      </rPr>
      <t xml:space="preserve">S31</t>
    </r>
    <r>
      <rPr>
        <b val="true"/>
        <sz val="11"/>
        <color rgb="FF1F3A5F"/>
        <rFont val="微软雅黑"/>
        <family val="2"/>
      </rPr>
      <t xml:space="preserve">）</t>
    </r>
  </si>
  <si>
    <r>
      <rPr>
        <sz val="10"/>
        <color rgb="FF595959"/>
        <rFont val="微软雅黑"/>
        <family val="2"/>
      </rPr>
      <t xml:space="preserve">原因：槽液成分和电参数波动；大平面边缘比中心颜色深（「窗框效应」）；被挂具或对电极遮挡的部位颜色偏浅；染槽老化导致批次之间颜色漂移。
对策：签色板 </t>
    </r>
    <r>
      <rPr>
        <sz val="10"/>
        <color rgb="FF595959"/>
        <rFont val="微软雅黑"/>
        <family val="0"/>
        <charset val="1"/>
      </rPr>
      <t xml:space="preserve">+ </t>
    </r>
    <r>
      <rPr>
        <sz val="10"/>
        <color rgb="FF595959"/>
        <rFont val="微软雅黑"/>
        <family val="2"/>
      </rPr>
      <t xml:space="preserve">深、浅限度样；同槽同批生产；固定挂具和挂位；每批用色差仪对比签样板。</t>
    </r>
  </si>
  <si>
    <r>
      <rPr>
        <b val="true"/>
        <sz val="11"/>
        <color rgb="FF1F3A5F"/>
        <rFont val="微软雅黑"/>
        <family val="0"/>
        <charset val="1"/>
      </rPr>
      <t xml:space="preserve">F. LED </t>
    </r>
    <r>
      <rPr>
        <b val="true"/>
        <sz val="11"/>
        <color rgb="FF1F3A5F"/>
        <rFont val="微软雅黑"/>
        <family val="2"/>
      </rPr>
      <t xml:space="preserve">色温　（来源：</t>
    </r>
    <r>
      <rPr>
        <b val="true"/>
        <sz val="11"/>
        <color rgb="FF1F3A5F"/>
        <rFont val="微软雅黑"/>
        <family val="0"/>
        <charset val="1"/>
      </rPr>
      <t xml:space="preserve">S36</t>
    </r>
    <r>
      <rPr>
        <b val="true"/>
        <sz val="11"/>
        <color rgb="FF1F3A5F"/>
        <rFont val="微软雅黑"/>
        <family val="2"/>
      </rPr>
      <t xml:space="preserve">）</t>
    </r>
  </si>
  <si>
    <r>
      <rPr>
        <sz val="10"/>
        <color rgb="FF595959"/>
        <rFont val="微软雅黑"/>
        <family val="0"/>
        <charset val="1"/>
      </rPr>
      <t xml:space="preserve">① ANSI C78.377 </t>
    </r>
    <r>
      <rPr>
        <sz val="10"/>
        <color rgb="FF595959"/>
        <rFont val="微软雅黑"/>
        <family val="2"/>
      </rPr>
      <t xml:space="preserve">的标称色温档包括 </t>
    </r>
    <r>
      <rPr>
        <sz val="10"/>
        <color rgb="FF595959"/>
        <rFont val="微软雅黑"/>
        <family val="0"/>
        <charset val="1"/>
      </rPr>
      <t xml:space="preserve">2200K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2500K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2700K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3000K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3500K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4000K </t>
    </r>
    <r>
      <rPr>
        <sz val="10"/>
        <color rgb="FF595959"/>
        <rFont val="微软雅黑"/>
        <family val="2"/>
      </rPr>
      <t xml:space="preserve">等。
② 厂商分档示例：</t>
    </r>
    <r>
      <rPr>
        <sz val="10"/>
        <color rgb="FF595959"/>
        <rFont val="微软雅黑"/>
        <family val="0"/>
        <charset val="1"/>
      </rPr>
      <t xml:space="preserve">2700K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3000K</t>
    </r>
    <r>
      <rPr>
        <sz val="10"/>
        <color rgb="FF595959"/>
        <rFont val="微软雅黑"/>
        <family val="2"/>
      </rPr>
      <t xml:space="preserve">、</t>
    </r>
    <r>
      <rPr>
        <sz val="10"/>
        <color rgb="FF595959"/>
        <rFont val="微软雅黑"/>
        <family val="0"/>
        <charset val="1"/>
      </rPr>
      <t xml:space="preserve">3500K </t>
    </r>
    <r>
      <rPr>
        <sz val="10"/>
        <color rgb="FF595959"/>
        <rFont val="微软雅黑"/>
        <family val="2"/>
      </rPr>
      <t xml:space="preserve">属于暖白分组。数值越低越暖黄。
③ 同一产品选同一色温档（</t>
    </r>
    <r>
      <rPr>
        <sz val="10"/>
        <color rgb="FF595959"/>
        <rFont val="微软雅黑"/>
        <family val="0"/>
        <charset val="1"/>
      </rPr>
      <t xml:space="preserve">BIN</t>
    </r>
    <r>
      <rPr>
        <sz val="10"/>
        <color rgb="FF595959"/>
        <rFont val="微软雅黑"/>
        <family val="2"/>
      </rPr>
      <t xml:space="preserve">）的灯珠，避免各台灯色不一致。</t>
    </r>
  </si>
  <si>
    <r>
      <rPr>
        <b val="true"/>
        <sz val="11"/>
        <color rgb="FF1F3A5F"/>
        <rFont val="微软雅黑"/>
        <family val="0"/>
        <charset val="1"/>
      </rPr>
      <t xml:space="preserve">G. </t>
    </r>
    <r>
      <rPr>
        <b val="true"/>
        <sz val="11"/>
        <color rgb="FF1F3A5F"/>
        <rFont val="微软雅黑"/>
        <family val="2"/>
      </rPr>
      <t xml:space="preserve">广佛供应链参考　（来源：</t>
    </r>
    <r>
      <rPr>
        <b val="true"/>
        <sz val="11"/>
        <color rgb="FF1F3A5F"/>
        <rFont val="微软雅黑"/>
        <family val="0"/>
        <charset val="1"/>
      </rPr>
      <t xml:space="preserve">S32</t>
    </r>
    <r>
      <rPr>
        <b val="true"/>
        <sz val="11"/>
        <color rgb="FF1F3A5F"/>
        <rFont val="微软雅黑"/>
        <family val="2"/>
      </rPr>
      <t xml:space="preserve">）</t>
    </r>
  </si>
  <si>
    <r>
      <rPr>
        <sz val="10"/>
        <color rgb="FF595959"/>
        <rFont val="微软雅黑"/>
        <family val="2"/>
      </rPr>
      <t xml:space="preserve">① 铝件：佛山南海（大沥）是全国主要的铝型材产区（</t>
    </r>
    <r>
      <rPr>
        <sz val="10"/>
        <color rgb="FF595959"/>
        <rFont val="微软雅黑"/>
        <family val="0"/>
        <charset val="1"/>
      </rPr>
      <t xml:space="preserve">2013 </t>
    </r>
    <r>
      <rPr>
        <sz val="10"/>
        <color rgb="FF595959"/>
        <rFont val="微软雅黑"/>
        <family val="2"/>
      </rPr>
      <t xml:space="preserve">年报道：南海铝型材产量约 </t>
    </r>
    <r>
      <rPr>
        <sz val="10"/>
        <color rgb="FF595959"/>
        <rFont val="微软雅黑"/>
        <family val="0"/>
        <charset val="1"/>
      </rPr>
      <t xml:space="preserve">300 </t>
    </r>
    <r>
      <rPr>
        <sz val="10"/>
        <color rgb="FF595959"/>
        <rFont val="微软雅黑"/>
        <family val="2"/>
      </rPr>
      <t xml:space="preserve">万吨，约占全国 </t>
    </r>
    <r>
      <rPr>
        <sz val="10"/>
        <color rgb="FF595959"/>
        <rFont val="微软雅黑"/>
        <family val="0"/>
        <charset val="1"/>
      </rPr>
      <t xml:space="preserve">30%</t>
    </r>
    <r>
      <rPr>
        <sz val="10"/>
        <color rgb="FF595959"/>
        <rFont val="微软雅黑"/>
        <family val="2"/>
      </rPr>
      <t xml:space="preserve">）。
② 喷涂厂筛选：有无尘喷涂车间、自动喷涂线、</t>
    </r>
    <r>
      <rPr>
        <sz val="10"/>
        <color rgb="FF595959"/>
        <rFont val="微软雅黑"/>
        <family val="0"/>
        <charset val="1"/>
      </rPr>
      <t xml:space="preserve">UV </t>
    </r>
    <r>
      <rPr>
        <sz val="10"/>
        <color rgb="FF595959"/>
        <rFont val="微软雅黑"/>
        <family val="2"/>
      </rPr>
      <t xml:space="preserve">固化线、多角度色差仪；广佛找不到合适的，可以扩大到珠三角其他城市。
③ 注塑和模具是广佛的常规能力；纹理（喷砂、咬花、火花纹）可由模具厂安排。</t>
    </r>
  </si>
  <si>
    <r>
      <rPr>
        <b val="true"/>
        <sz val="11"/>
        <color rgb="FF1F3A5F"/>
        <rFont val="微软雅黑"/>
        <family val="0"/>
        <charset val="1"/>
      </rPr>
      <t xml:space="preserve">H. </t>
    </r>
    <r>
      <rPr>
        <b val="true"/>
        <sz val="11"/>
        <color rgb="FF1F3A5F"/>
        <rFont val="微软雅黑"/>
        <family val="2"/>
      </rPr>
      <t xml:space="preserve">材料示例牌号（选用前向材料商索取最新 </t>
    </r>
    <r>
      <rPr>
        <b val="true"/>
        <sz val="11"/>
        <color rgb="FF1F3A5F"/>
        <rFont val="微软雅黑"/>
        <family val="0"/>
        <charset val="1"/>
      </rPr>
      <t xml:space="preserve">TDS</t>
    </r>
    <r>
      <rPr>
        <b val="true"/>
        <sz val="11"/>
        <color rgb="FF1F3A5F"/>
        <rFont val="微软雅黑"/>
        <family val="2"/>
      </rPr>
      <t xml:space="preserve">）　（来源：</t>
    </r>
    <r>
      <rPr>
        <b val="true"/>
        <sz val="11"/>
        <color rgb="FF1F3A5F"/>
        <rFont val="微软雅黑"/>
        <family val="0"/>
        <charset val="1"/>
      </rPr>
      <t xml:space="preserve">S33–S35</t>
    </r>
    <r>
      <rPr>
        <b val="true"/>
        <sz val="11"/>
        <color rgb="FF1F3A5F"/>
        <rFont val="微软雅黑"/>
        <family val="2"/>
      </rPr>
      <t xml:space="preserve">）</t>
    </r>
  </si>
  <si>
    <t xml:space="preserve">类型</t>
  </si>
  <si>
    <t xml:space="preserve">已查到的数据</t>
  </si>
  <si>
    <t xml:space="preserve">SABIC CYCOLOY C1200HF</t>
  </si>
  <si>
    <r>
      <rPr>
        <sz val="10"/>
        <color rgb="FF000000"/>
        <rFont val="微软雅黑"/>
        <family val="2"/>
      </rPr>
      <t xml:space="preserve">密度 </t>
    </r>
    <r>
      <rPr>
        <sz val="10"/>
        <color rgb="FF000000"/>
        <rFont val="微软雅黑"/>
        <family val="0"/>
        <charset val="1"/>
      </rPr>
      <t xml:space="preserve">1.15 g/cm³</t>
    </r>
    <r>
      <rPr>
        <sz val="10"/>
        <color rgb="FF000000"/>
        <rFont val="微软雅黑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UL94 HB</t>
    </r>
    <r>
      <rPr>
        <sz val="10"/>
        <color rgb="FF000000"/>
        <rFont val="微软雅黑"/>
        <family val="2"/>
      </rPr>
      <t xml:space="preserve">（</t>
    </r>
    <r>
      <rPr>
        <sz val="10"/>
        <color rgb="FF000000"/>
        <rFont val="微软雅黑"/>
        <family val="0"/>
        <charset val="1"/>
      </rPr>
      <t xml:space="preserve">1.2 mm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3.0 mm</t>
    </r>
    <r>
      <rPr>
        <sz val="10"/>
        <color rgb="FF000000"/>
        <rFont val="微软雅黑"/>
        <family val="2"/>
      </rPr>
      <t xml:space="preserve">）；强调流动性和制件表面外观</t>
    </r>
  </si>
  <si>
    <t xml:space="preserve">S33</t>
  </si>
  <si>
    <r>
      <rPr>
        <sz val="10"/>
        <color rgb="FF000000"/>
        <rFont val="微软雅黑"/>
        <family val="2"/>
      </rPr>
      <t xml:space="preserve">科思创 </t>
    </r>
    <r>
      <rPr>
        <sz val="10"/>
        <color rgb="FF000000"/>
        <rFont val="微软雅黑"/>
        <family val="0"/>
        <charset val="1"/>
      </rPr>
      <t xml:space="preserve">Bayblend T85 XF</t>
    </r>
  </si>
  <si>
    <t xml:space="preserve">PC+ABS</t>
  </si>
  <si>
    <r>
      <rPr>
        <sz val="10"/>
        <color rgb="FF000000"/>
        <rFont val="微软雅黑"/>
        <family val="2"/>
      </rPr>
      <t xml:space="preserve">成型收缩率 </t>
    </r>
    <r>
      <rPr>
        <sz val="10"/>
        <color rgb="FF000000"/>
        <rFont val="微软雅黑"/>
        <family val="0"/>
        <charset val="1"/>
      </rPr>
      <t xml:space="preserve">0.60–0.75%</t>
    </r>
    <r>
      <rPr>
        <sz val="10"/>
        <color rgb="FF000000"/>
        <rFont val="微软雅黑"/>
        <family val="2"/>
      </rPr>
      <t xml:space="preserve">（</t>
    </r>
    <r>
      <rPr>
        <sz val="10"/>
        <color rgb="FF000000"/>
        <rFont val="微软雅黑"/>
        <family val="0"/>
        <charset val="1"/>
      </rPr>
      <t xml:space="preserve">ISO 294-4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60×60×2 mm </t>
    </r>
    <r>
      <rPr>
        <sz val="10"/>
        <color rgb="FF000000"/>
        <rFont val="微软雅黑"/>
        <family val="2"/>
      </rPr>
      <t xml:space="preserve">样板）；维卡软化温度（</t>
    </r>
    <r>
      <rPr>
        <sz val="10"/>
        <color rgb="FF000000"/>
        <rFont val="微软雅黑"/>
        <family val="0"/>
        <charset val="1"/>
      </rPr>
      <t xml:space="preserve">B120</t>
    </r>
    <r>
      <rPr>
        <sz val="10"/>
        <color rgb="FF000000"/>
        <rFont val="微软雅黑"/>
        <family val="2"/>
      </rPr>
      <t xml:space="preserve">）</t>
    </r>
    <r>
      <rPr>
        <sz val="10"/>
        <color rgb="FF000000"/>
        <rFont val="微软雅黑"/>
        <family val="0"/>
        <charset val="1"/>
      </rPr>
      <t xml:space="preserve">130 ℃</t>
    </r>
    <r>
      <rPr>
        <sz val="10"/>
        <color rgb="FF000000"/>
        <rFont val="微软雅黑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UL94 HB</t>
    </r>
  </si>
  <si>
    <t xml:space="preserve">S34</t>
  </si>
  <si>
    <r>
      <rPr>
        <sz val="10"/>
        <color rgb="FF000000"/>
        <rFont val="微软雅黑"/>
        <family val="2"/>
      </rPr>
      <t xml:space="preserve">科思创 </t>
    </r>
    <r>
      <rPr>
        <sz val="10"/>
        <color rgb="FF000000"/>
        <rFont val="微软雅黑"/>
        <family val="0"/>
        <charset val="1"/>
      </rPr>
      <t xml:space="preserve">Makrolon DQ5122 / DQ5142 / DQ5162</t>
    </r>
  </si>
  <si>
    <r>
      <rPr>
        <sz val="10"/>
        <color rgb="FF000000"/>
        <rFont val="微软雅黑"/>
        <family val="2"/>
      </rPr>
      <t xml:space="preserve">扩散级 </t>
    </r>
    <r>
      <rPr>
        <sz val="10"/>
        <color rgb="FF000000"/>
        <rFont val="微软雅黑"/>
        <family val="0"/>
        <charset val="1"/>
      </rPr>
      <t xml:space="preserve">PC</t>
    </r>
  </si>
  <si>
    <r>
      <rPr>
        <sz val="10"/>
        <color rgb="FF000000"/>
        <rFont val="微软雅黑"/>
        <family val="2"/>
      </rPr>
      <t xml:space="preserve">用于 </t>
    </r>
    <r>
      <rPr>
        <sz val="10"/>
        <color rgb="FF000000"/>
        <rFont val="微软雅黑"/>
        <family val="0"/>
        <charset val="1"/>
      </rPr>
      <t xml:space="preserve">LED </t>
    </r>
    <r>
      <rPr>
        <sz val="10"/>
        <color rgb="FF000000"/>
        <rFont val="微软雅黑"/>
        <family val="2"/>
      </rPr>
      <t xml:space="preserve">扩散件；半值角分别约 </t>
    </r>
    <r>
      <rPr>
        <sz val="10"/>
        <color rgb="FF000000"/>
        <rFont val="微软雅黑"/>
        <family val="0"/>
        <charset val="1"/>
      </rPr>
      <t xml:space="preserve">19° / 43° / 56°</t>
    </r>
  </si>
  <si>
    <t xml:space="preserve">S35</t>
  </si>
  <si>
    <r>
      <rPr>
        <sz val="10"/>
        <color rgb="FF595959"/>
        <rFont val="微软雅黑"/>
        <family val="2"/>
      </rPr>
      <t xml:space="preserve">说明：收缩率是标准样板的数据，实际零件的收缩率和结构、模具、工艺有关，要以试模结果为准（</t>
    </r>
    <r>
      <rPr>
        <sz val="10"/>
        <color rgb="FF595959"/>
        <rFont val="微软雅黑"/>
        <family val="0"/>
        <charset val="1"/>
      </rPr>
      <t xml:space="preserve">Covestro </t>
    </r>
    <r>
      <rPr>
        <sz val="10"/>
        <color rgb="FF595959"/>
        <rFont val="微软雅黑"/>
        <family val="2"/>
      </rPr>
      <t xml:space="preserve">说明）。注塑厂也可能推荐同级替代牌号。</t>
    </r>
  </si>
  <si>
    <t xml:space="preserve">术语表（看不懂的词在这里查）</t>
  </si>
  <si>
    <t xml:space="preserve">术语</t>
  </si>
  <si>
    <t xml:space="preserve">通俗解释</t>
  </si>
  <si>
    <r>
      <rPr>
        <sz val="10"/>
        <color rgb="FF000000"/>
        <rFont val="微软雅黑"/>
        <family val="0"/>
        <charset val="1"/>
      </rPr>
      <t xml:space="preserve">Color</t>
    </r>
    <r>
      <rPr>
        <sz val="10"/>
        <color rgb="FF000000"/>
        <rFont val="微软雅黑"/>
        <family val="2"/>
      </rPr>
      <t xml:space="preserve">（颜色）、</t>
    </r>
    <r>
      <rPr>
        <sz val="10"/>
        <color rgb="FF000000"/>
        <rFont val="微软雅黑"/>
        <family val="0"/>
        <charset val="1"/>
      </rPr>
      <t xml:space="preserve">Material</t>
    </r>
    <r>
      <rPr>
        <sz val="10"/>
        <color rgb="FF000000"/>
        <rFont val="微软雅黑"/>
        <family val="2"/>
      </rPr>
      <t xml:space="preserve">（材料）、</t>
    </r>
    <r>
      <rPr>
        <sz val="10"/>
        <color rgb="FF000000"/>
        <rFont val="微软雅黑"/>
        <family val="0"/>
        <charset val="1"/>
      </rPr>
      <t xml:space="preserve">Finish</t>
    </r>
    <r>
      <rPr>
        <sz val="10"/>
        <color rgb="FF000000"/>
        <rFont val="微软雅黑"/>
        <family val="2"/>
      </rPr>
      <t xml:space="preserve">（表面处理）的缩写，描述产品看起来、摸起来是什么样</t>
    </r>
  </si>
  <si>
    <r>
      <rPr>
        <b val="true"/>
        <sz val="10"/>
        <color rgb="FF000000"/>
        <rFont val="微软雅黑"/>
        <family val="2"/>
      </rPr>
      <t xml:space="preserve">色板 </t>
    </r>
    <r>
      <rPr>
        <b val="true"/>
        <sz val="10"/>
        <color rgb="FF000000"/>
        <rFont val="微软雅黑"/>
        <family val="0"/>
        <charset val="1"/>
      </rPr>
      <t xml:space="preserve">/ </t>
    </r>
    <r>
      <rPr>
        <b val="true"/>
        <sz val="10"/>
        <color rgb="FF000000"/>
        <rFont val="微软雅黑"/>
        <family val="2"/>
      </rPr>
      <t xml:space="preserve">签样</t>
    </r>
  </si>
  <si>
    <t xml:space="preserve">厂家按要求做出的实物颜色样板。双方签字后，就是量产颜色的标准</t>
  </si>
  <si>
    <t xml:space="preserve">限度样</t>
  </si>
  <si>
    <t xml:space="preserve">可以接受的最深、最浅（或缺陷最大）的实物样。量产件落在这个范围内就合格</t>
  </si>
  <si>
    <t xml:space="preserve">L*a*b*</t>
  </si>
  <si>
    <r>
      <rPr>
        <sz val="10"/>
        <color rgb="FF000000"/>
        <rFont val="微软雅黑"/>
        <family val="2"/>
      </rPr>
      <t xml:space="preserve">用三个数描述颜色：</t>
    </r>
    <r>
      <rPr>
        <sz val="10"/>
        <color rgb="FF000000"/>
        <rFont val="微软雅黑"/>
        <family val="0"/>
        <charset val="1"/>
      </rPr>
      <t xml:space="preserve">L* </t>
    </r>
    <r>
      <rPr>
        <sz val="10"/>
        <color rgb="FF000000"/>
        <rFont val="微软雅黑"/>
        <family val="2"/>
      </rPr>
      <t xml:space="preserve">表示明暗，</t>
    </r>
    <r>
      <rPr>
        <sz val="10"/>
        <color rgb="FF000000"/>
        <rFont val="微软雅黑"/>
        <family val="0"/>
        <charset val="1"/>
      </rPr>
      <t xml:space="preserve">a* </t>
    </r>
    <r>
      <rPr>
        <sz val="10"/>
        <color rgb="FF000000"/>
        <rFont val="微软雅黑"/>
        <family val="2"/>
      </rPr>
      <t xml:space="preserve">表示红绿，</t>
    </r>
    <r>
      <rPr>
        <sz val="10"/>
        <color rgb="FF000000"/>
        <rFont val="微软雅黑"/>
        <family val="0"/>
        <charset val="1"/>
      </rPr>
      <t xml:space="preserve">b* </t>
    </r>
    <r>
      <rPr>
        <sz val="10"/>
        <color rgb="FF000000"/>
        <rFont val="微软雅黑"/>
        <family val="2"/>
      </rPr>
      <t xml:space="preserve">表示黄蓝</t>
    </r>
  </si>
  <si>
    <r>
      <rPr>
        <b val="true"/>
        <sz val="10"/>
        <color rgb="FF000000"/>
        <rFont val="微软雅黑"/>
        <family val="0"/>
        <charset val="1"/>
      </rPr>
      <t xml:space="preserve">ΔE</t>
    </r>
    <r>
      <rPr>
        <b val="true"/>
        <sz val="10"/>
        <color rgb="FF000000"/>
        <rFont val="微软雅黑"/>
        <family val="2"/>
      </rPr>
      <t xml:space="preserve">（色差）</t>
    </r>
  </si>
  <si>
    <r>
      <rPr>
        <sz val="10"/>
        <color rgb="FF000000"/>
        <rFont val="微软雅黑"/>
        <family val="2"/>
      </rPr>
      <t xml:space="preserve">两个颜色在 </t>
    </r>
    <r>
      <rPr>
        <sz val="10"/>
        <color rgb="FF000000"/>
        <rFont val="微软雅黑"/>
        <family val="0"/>
        <charset val="1"/>
      </rPr>
      <t xml:space="preserve">L*a*b* </t>
    </r>
    <r>
      <rPr>
        <sz val="10"/>
        <color rgb="FF000000"/>
        <rFont val="微软雅黑"/>
        <family val="2"/>
      </rPr>
      <t xml:space="preserve">上的距离。数值越小，颜色越接近</t>
    </r>
  </si>
  <si>
    <t xml:space="preserve">D65</t>
  </si>
  <si>
    <t xml:space="preserve">模拟日光的标准光源，对色时常用</t>
  </si>
  <si>
    <t xml:space="preserve">多角度测色</t>
  </si>
  <si>
    <t xml:space="preserve">金属漆、珠光漆从不同角度看颜色会变，所以要在几个角度分别测量</t>
  </si>
  <si>
    <r>
      <rPr>
        <b val="true"/>
        <sz val="10"/>
        <color rgb="FF000000"/>
        <rFont val="微软雅黑"/>
        <family val="0"/>
        <charset val="1"/>
      </rPr>
      <t xml:space="preserve">GU</t>
    </r>
    <r>
      <rPr>
        <b val="true"/>
        <sz val="10"/>
        <color rgb="FF000000"/>
        <rFont val="微软雅黑"/>
        <family val="2"/>
      </rPr>
      <t xml:space="preserve">（光泽单位）</t>
    </r>
  </si>
  <si>
    <t xml:space="preserve">光泽仪的读数，数值越高越亮</t>
  </si>
  <si>
    <r>
      <rPr>
        <b val="true"/>
        <sz val="10"/>
        <color rgb="FF000000"/>
        <rFont val="微软雅黑"/>
        <family val="2"/>
      </rPr>
      <t xml:space="preserve">外观面 </t>
    </r>
    <r>
      <rPr>
        <b val="true"/>
        <sz val="10"/>
        <color rgb="FF000000"/>
        <rFont val="微软雅黑"/>
        <family val="0"/>
        <charset val="1"/>
      </rPr>
      <t xml:space="preserve">A / B / C</t>
    </r>
  </si>
  <si>
    <r>
      <rPr>
        <sz val="10"/>
        <color rgb="FF000000"/>
        <rFont val="微软雅黑"/>
        <family val="0"/>
        <charset val="1"/>
      </rPr>
      <t xml:space="preserve">A </t>
    </r>
    <r>
      <rPr>
        <sz val="10"/>
        <color rgb="FF000000"/>
        <rFont val="微软雅黑"/>
        <family val="2"/>
      </rPr>
      <t xml:space="preserve">面：使用时直接看到的面，要求最高；</t>
    </r>
    <r>
      <rPr>
        <sz val="10"/>
        <color rgb="FF000000"/>
        <rFont val="微软雅黑"/>
        <family val="0"/>
        <charset val="1"/>
      </rPr>
      <t xml:space="preserve">B </t>
    </r>
    <r>
      <rPr>
        <sz val="10"/>
        <color rgb="FF000000"/>
        <rFont val="微软雅黑"/>
        <family val="2"/>
      </rPr>
      <t xml:space="preserve">面：偶尔看到的面；</t>
    </r>
    <r>
      <rPr>
        <sz val="10"/>
        <color rgb="FF000000"/>
        <rFont val="微软雅黑"/>
        <family val="0"/>
        <charset val="1"/>
      </rPr>
      <t xml:space="preserve">C </t>
    </r>
    <r>
      <rPr>
        <sz val="10"/>
        <color rgb="FF000000"/>
        <rFont val="微软雅黑"/>
        <family val="2"/>
      </rPr>
      <t xml:space="preserve">面：看不到的面</t>
    </r>
  </si>
  <si>
    <t xml:space="preserve">SPI</t>
  </si>
  <si>
    <r>
      <rPr>
        <sz val="10"/>
        <color rgb="FF000000"/>
        <rFont val="微软雅黑"/>
        <family val="2"/>
      </rPr>
      <t xml:space="preserve">美国塑料工业协会的模具抛光等级，从 </t>
    </r>
    <r>
      <rPr>
        <sz val="10"/>
        <color rgb="FF000000"/>
        <rFont val="微软雅黑"/>
        <family val="0"/>
        <charset val="1"/>
      </rPr>
      <t xml:space="preserve">A</t>
    </r>
    <r>
      <rPr>
        <sz val="10"/>
        <color rgb="FF000000"/>
        <rFont val="微软雅黑"/>
        <family val="2"/>
      </rPr>
      <t xml:space="preserve">（镜面）到 </t>
    </r>
    <r>
      <rPr>
        <sz val="10"/>
        <color rgb="FF000000"/>
        <rFont val="微软雅黑"/>
        <family val="0"/>
        <charset val="1"/>
      </rPr>
      <t xml:space="preserve">D</t>
    </r>
    <r>
      <rPr>
        <sz val="10"/>
        <color rgb="FF000000"/>
        <rFont val="微软雅黑"/>
        <family val="2"/>
      </rPr>
      <t xml:space="preserve">（喷砂）</t>
    </r>
  </si>
  <si>
    <t xml:space="preserve">VDI 3400</t>
  </si>
  <si>
    <t xml:space="preserve">德国的电火花纹等级，数字越大越粗糙</t>
  </si>
  <si>
    <r>
      <rPr>
        <b val="true"/>
        <sz val="10"/>
        <color rgb="FF000000"/>
        <rFont val="微软雅黑"/>
        <family val="0"/>
        <charset val="1"/>
      </rPr>
      <t xml:space="preserve">MT </t>
    </r>
    <r>
      <rPr>
        <b val="true"/>
        <sz val="10"/>
        <color rgb="FF000000"/>
        <rFont val="微软雅黑"/>
        <family val="2"/>
      </rPr>
      <t xml:space="preserve">咬花</t>
    </r>
  </si>
  <si>
    <r>
      <rPr>
        <sz val="10"/>
        <color rgb="FF000000"/>
        <rFont val="微软雅黑"/>
        <family val="0"/>
        <charset val="1"/>
      </rPr>
      <t xml:space="preserve">Mold-Tech </t>
    </r>
    <r>
      <rPr>
        <sz val="10"/>
        <color rgb="FF000000"/>
        <rFont val="微软雅黑"/>
        <family val="2"/>
      </rPr>
      <t xml:space="preserve">公司的化学蚀纹编号体系，例如 </t>
    </r>
    <r>
      <rPr>
        <sz val="10"/>
        <color rgb="FF000000"/>
        <rFont val="微软雅黑"/>
        <family val="0"/>
        <charset val="1"/>
      </rPr>
      <t xml:space="preserve">MT-11010</t>
    </r>
  </si>
  <si>
    <t xml:space="preserve">拔模角</t>
  </si>
  <si>
    <t xml:space="preserve">零件侧面的倾斜角度，让零件能从模具里顺利脱出。有纹理的面需要更大的拔模角</t>
  </si>
  <si>
    <r>
      <rPr>
        <b val="true"/>
        <sz val="10"/>
        <color rgb="FF000000"/>
        <rFont val="微软雅黑"/>
        <family val="2"/>
      </rPr>
      <t xml:space="preserve">底漆 </t>
    </r>
    <r>
      <rPr>
        <b val="true"/>
        <sz val="10"/>
        <color rgb="FF000000"/>
        <rFont val="微软雅黑"/>
        <family val="0"/>
        <charset val="1"/>
      </rPr>
      <t xml:space="preserve">/ </t>
    </r>
    <r>
      <rPr>
        <b val="true"/>
        <sz val="10"/>
        <color rgb="FF000000"/>
        <rFont val="微软雅黑"/>
        <family val="2"/>
      </rPr>
      <t xml:space="preserve">色漆 </t>
    </r>
    <r>
      <rPr>
        <b val="true"/>
        <sz val="10"/>
        <color rgb="FF000000"/>
        <rFont val="微软雅黑"/>
        <family val="0"/>
        <charset val="1"/>
      </rPr>
      <t xml:space="preserve">/ </t>
    </r>
    <r>
      <rPr>
        <b val="true"/>
        <sz val="10"/>
        <color rgb="FF000000"/>
        <rFont val="微软雅黑"/>
        <family val="2"/>
      </rPr>
      <t xml:space="preserve">面漆</t>
    </r>
  </si>
  <si>
    <t xml:space="preserve">喷涂的三层：底漆增加附着、遮盖缺陷；色漆出颜色；面漆保护表面并决定光泽</t>
  </si>
  <si>
    <r>
      <rPr>
        <b val="true"/>
        <sz val="10"/>
        <color rgb="FF000000"/>
        <rFont val="微软雅黑"/>
        <family val="0"/>
        <charset val="1"/>
      </rPr>
      <t xml:space="preserve">PU </t>
    </r>
    <r>
      <rPr>
        <b val="true"/>
        <sz val="10"/>
        <color rgb="FF000000"/>
        <rFont val="微软雅黑"/>
        <family val="2"/>
      </rPr>
      <t xml:space="preserve">漆 </t>
    </r>
    <r>
      <rPr>
        <b val="true"/>
        <sz val="10"/>
        <color rgb="FF000000"/>
        <rFont val="微软雅黑"/>
        <family val="0"/>
        <charset val="1"/>
      </rPr>
      <t xml:space="preserve">/ UV </t>
    </r>
    <r>
      <rPr>
        <b val="true"/>
        <sz val="10"/>
        <color rgb="FF000000"/>
        <rFont val="微软雅黑"/>
        <family val="2"/>
      </rPr>
      <t xml:space="preserve">漆</t>
    </r>
  </si>
  <si>
    <r>
      <rPr>
        <sz val="10"/>
        <color rgb="FF000000"/>
        <rFont val="微软雅黑"/>
        <family val="2"/>
      </rPr>
      <t xml:space="preserve">两种常见面漆：</t>
    </r>
    <r>
      <rPr>
        <sz val="10"/>
        <color rgb="FF000000"/>
        <rFont val="微软雅黑"/>
        <family val="0"/>
        <charset val="1"/>
      </rPr>
      <t xml:space="preserve">PU </t>
    </r>
    <r>
      <rPr>
        <sz val="10"/>
        <color rgb="FF000000"/>
        <rFont val="微软雅黑"/>
        <family val="2"/>
      </rPr>
      <t xml:space="preserve">漆靠加热或常温固化；</t>
    </r>
    <r>
      <rPr>
        <sz val="10"/>
        <color rgb="FF000000"/>
        <rFont val="微软雅黑"/>
        <family val="0"/>
        <charset val="1"/>
      </rPr>
      <t xml:space="preserve">UV </t>
    </r>
    <r>
      <rPr>
        <sz val="10"/>
        <color rgb="FF000000"/>
        <rFont val="微软雅黑"/>
        <family val="2"/>
      </rPr>
      <t xml:space="preserve">漆用紫外线固化，</t>
    </r>
    <r>
      <rPr>
        <sz val="10"/>
        <color rgb="FF000000"/>
        <rFont val="微软雅黑"/>
        <family val="0"/>
        <charset val="1"/>
      </rPr>
      <t xml:space="preserve">3C </t>
    </r>
    <r>
      <rPr>
        <sz val="10"/>
        <color rgb="FF000000"/>
        <rFont val="微软雅黑"/>
        <family val="2"/>
      </rPr>
      <t xml:space="preserve">外壳常用它来提高表面硬度</t>
    </r>
  </si>
  <si>
    <t xml:space="preserve">阳极氧化</t>
  </si>
  <si>
    <t xml:space="preserve">在铝表面通电生成一层氧化膜。这层膜有微孔，可以染色，之后再封孔</t>
  </si>
  <si>
    <t xml:space="preserve">封孔</t>
  </si>
  <si>
    <t xml:space="preserve">把阳极膜的微孔封住，提高耐污、耐腐蚀能力，颜色也更稳定</t>
  </si>
  <si>
    <t xml:space="preserve">AA10</t>
  </si>
  <si>
    <r>
      <rPr>
        <sz val="10"/>
        <color rgb="FF000000"/>
        <rFont val="微软雅黑"/>
        <family val="2"/>
      </rPr>
      <t xml:space="preserve">阳极膜厚级别。</t>
    </r>
    <r>
      <rPr>
        <sz val="10"/>
        <color rgb="FF000000"/>
        <rFont val="微软雅黑"/>
        <family val="0"/>
        <charset val="1"/>
      </rPr>
      <t xml:space="preserve">AA </t>
    </r>
    <r>
      <rPr>
        <sz val="10"/>
        <color rgb="FF000000"/>
        <rFont val="微软雅黑"/>
        <family val="2"/>
      </rPr>
      <t xml:space="preserve">后的数字是最小平均膜厚（</t>
    </r>
    <r>
      <rPr>
        <sz val="10"/>
        <color rgb="FF000000"/>
        <rFont val="微软雅黑"/>
        <family val="0"/>
        <charset val="1"/>
      </rPr>
      <t xml:space="preserve">μm</t>
    </r>
    <r>
      <rPr>
        <sz val="10"/>
        <color rgb="FF000000"/>
        <rFont val="微软雅黑"/>
        <family val="2"/>
      </rPr>
      <t xml:space="preserve">），</t>
    </r>
    <r>
      <rPr>
        <sz val="10"/>
        <color rgb="FF000000"/>
        <rFont val="微软雅黑"/>
        <family val="0"/>
        <charset val="1"/>
      </rPr>
      <t xml:space="preserve">AA10 </t>
    </r>
    <r>
      <rPr>
        <sz val="10"/>
        <color rgb="FF000000"/>
        <rFont val="微软雅黑"/>
        <family val="2"/>
      </rPr>
      <t xml:space="preserve">即平均不小于 </t>
    </r>
    <r>
      <rPr>
        <sz val="10"/>
        <color rgb="FF000000"/>
        <rFont val="微软雅黑"/>
        <family val="0"/>
        <charset val="1"/>
      </rPr>
      <t xml:space="preserve">10 μm</t>
    </r>
  </si>
  <si>
    <r>
      <rPr>
        <b val="true"/>
        <sz val="10"/>
        <color rgb="FF000000"/>
        <rFont val="微软雅黑"/>
        <family val="2"/>
      </rPr>
      <t xml:space="preserve">扩散级 </t>
    </r>
    <r>
      <rPr>
        <b val="true"/>
        <sz val="10"/>
        <color rgb="FF000000"/>
        <rFont val="微软雅黑"/>
        <family val="0"/>
        <charset val="1"/>
      </rPr>
      <t xml:space="preserve">PC</t>
    </r>
  </si>
  <si>
    <t xml:space="preserve">加了光扩散成分的聚碳酸酯，能透光，但看不清背后的灯珠</t>
  </si>
  <si>
    <r>
      <rPr>
        <b val="true"/>
        <sz val="10"/>
        <color rgb="FF000000"/>
        <rFont val="微软雅黑"/>
        <family val="2"/>
      </rPr>
      <t xml:space="preserve">透光率 </t>
    </r>
    <r>
      <rPr>
        <b val="true"/>
        <sz val="10"/>
        <color rgb="FF000000"/>
        <rFont val="微软雅黑"/>
        <family val="0"/>
        <charset val="1"/>
      </rPr>
      <t xml:space="preserve">/ </t>
    </r>
    <r>
      <rPr>
        <b val="true"/>
        <sz val="10"/>
        <color rgb="FF000000"/>
        <rFont val="微软雅黑"/>
        <family val="2"/>
      </rPr>
      <t xml:space="preserve">雾度</t>
    </r>
  </si>
  <si>
    <t xml:space="preserve">透光率：透过的光占多少；雾度：透过的光有多「散」</t>
  </si>
  <si>
    <r>
      <rPr>
        <b val="true"/>
        <sz val="10"/>
        <color rgb="FF000000"/>
        <rFont val="微软雅黑"/>
        <family val="2"/>
      </rPr>
      <t xml:space="preserve">色温（</t>
    </r>
    <r>
      <rPr>
        <b val="true"/>
        <sz val="10"/>
        <color rgb="FF000000"/>
        <rFont val="微软雅黑"/>
        <family val="0"/>
        <charset val="1"/>
      </rPr>
      <t xml:space="preserve">K</t>
    </r>
    <r>
      <rPr>
        <b val="true"/>
        <sz val="10"/>
        <color rgb="FF000000"/>
        <rFont val="微软雅黑"/>
        <family val="2"/>
      </rPr>
      <t xml:space="preserve">）</t>
    </r>
  </si>
  <si>
    <r>
      <rPr>
        <sz val="10"/>
        <color rgb="FF000000"/>
        <rFont val="微软雅黑"/>
        <family val="2"/>
      </rPr>
      <t xml:space="preserve">光的冷暖。数值越低越暖黄，例如 </t>
    </r>
    <r>
      <rPr>
        <sz val="10"/>
        <color rgb="FF000000"/>
        <rFont val="微软雅黑"/>
        <family val="0"/>
        <charset val="1"/>
      </rPr>
      <t xml:space="preserve">2700K </t>
    </r>
    <r>
      <rPr>
        <sz val="10"/>
        <color rgb="FF000000"/>
        <rFont val="微软雅黑"/>
        <family val="2"/>
      </rPr>
      <t xml:space="preserve">比 </t>
    </r>
    <r>
      <rPr>
        <sz val="10"/>
        <color rgb="FF000000"/>
        <rFont val="微软雅黑"/>
        <family val="0"/>
        <charset val="1"/>
      </rPr>
      <t xml:space="preserve">4000K </t>
    </r>
    <r>
      <rPr>
        <sz val="10"/>
        <color rgb="FF000000"/>
        <rFont val="微软雅黑"/>
        <family val="2"/>
      </rPr>
      <t xml:space="preserve">暖</t>
    </r>
  </si>
  <si>
    <r>
      <rPr>
        <b val="true"/>
        <sz val="10"/>
        <color rgb="FF000000"/>
        <rFont val="微软雅黑"/>
        <family val="0"/>
        <charset val="1"/>
      </rPr>
      <t xml:space="preserve">BIN</t>
    </r>
    <r>
      <rPr>
        <b val="true"/>
        <sz val="10"/>
        <color rgb="FF000000"/>
        <rFont val="微软雅黑"/>
        <family val="2"/>
      </rPr>
      <t xml:space="preserve">（分档）</t>
    </r>
  </si>
  <si>
    <r>
      <rPr>
        <sz val="10"/>
        <color rgb="FF000000"/>
        <rFont val="微软雅黑"/>
        <family val="0"/>
        <charset val="1"/>
      </rPr>
      <t xml:space="preserve">LED </t>
    </r>
    <r>
      <rPr>
        <sz val="10"/>
        <color rgb="FF000000"/>
        <rFont val="微软雅黑"/>
        <family val="2"/>
      </rPr>
      <t xml:space="preserve">按颜色和亮度分档，同一档的灯珠颜色更一致</t>
    </r>
  </si>
  <si>
    <t xml:space="preserve">DFM</t>
  </si>
  <si>
    <t xml:space="preserve">可制造性评审：模具厂开模前检查设计能不能做、好不好做</t>
  </si>
  <si>
    <r>
      <rPr>
        <b val="true"/>
        <sz val="10"/>
        <color rgb="FF000000"/>
        <rFont val="微软雅黑"/>
        <family val="0"/>
        <charset val="1"/>
      </rPr>
      <t xml:space="preserve">T0 / T1 </t>
    </r>
    <r>
      <rPr>
        <b val="true"/>
        <sz val="10"/>
        <color rgb="FF000000"/>
        <rFont val="微软雅黑"/>
        <family val="2"/>
      </rPr>
      <t xml:space="preserve">试模</t>
    </r>
  </si>
  <si>
    <t xml:space="preserve">模具做好后第几次试打样件</t>
  </si>
  <si>
    <r>
      <rPr>
        <b val="true"/>
        <sz val="10"/>
        <color rgb="FF000000"/>
        <rFont val="微软雅黑"/>
        <family val="0"/>
        <charset val="1"/>
      </rPr>
      <t xml:space="preserve">FAI</t>
    </r>
    <r>
      <rPr>
        <b val="true"/>
        <sz val="10"/>
        <color rgb="FF000000"/>
        <rFont val="微软雅黑"/>
        <family val="2"/>
      </rPr>
      <t xml:space="preserve">（首件检验）</t>
    </r>
  </si>
  <si>
    <t xml:space="preserve">量产第一批的首件全面检验</t>
  </si>
  <si>
    <t xml:space="preserve">AQL</t>
  </si>
  <si>
    <t xml:space="preserve">抽样检验的接收质量限。数值越小，要求越严</t>
  </si>
  <si>
    <t xml:space="preserve">RoHS</t>
  </si>
  <si>
    <t xml:space="preserve">限制电子电气产品中有害物质的法规，中国和欧盟都有</t>
  </si>
  <si>
    <t xml:space="preserve">UL94</t>
  </si>
  <si>
    <r>
      <rPr>
        <sz val="10"/>
        <color rgb="FF000000"/>
        <rFont val="微软雅黑"/>
        <family val="2"/>
      </rPr>
      <t xml:space="preserve">塑料阻燃等级（</t>
    </r>
    <r>
      <rPr>
        <sz val="10"/>
        <color rgb="FF000000"/>
        <rFont val="微软雅黑"/>
        <family val="0"/>
        <charset val="1"/>
      </rPr>
      <t xml:space="preserve">HB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V-2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V-1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V-0 </t>
    </r>
    <r>
      <rPr>
        <sz val="10"/>
        <color rgb="FF000000"/>
        <rFont val="微软雅黑"/>
        <family val="2"/>
      </rPr>
      <t xml:space="preserve">等）。</t>
    </r>
    <r>
      <rPr>
        <sz val="10"/>
        <color rgb="FF000000"/>
        <rFont val="微软雅黑"/>
        <family val="0"/>
        <charset val="1"/>
      </rPr>
      <t xml:space="preserve">V </t>
    </r>
    <r>
      <rPr>
        <sz val="10"/>
        <color rgb="FF000000"/>
        <rFont val="微软雅黑"/>
        <family val="2"/>
      </rPr>
      <t xml:space="preserve">级里 </t>
    </r>
    <r>
      <rPr>
        <sz val="10"/>
        <color rgb="FF000000"/>
        <rFont val="微软雅黑"/>
        <family val="0"/>
        <charset val="1"/>
      </rPr>
      <t xml:space="preserve">V-0 </t>
    </r>
    <r>
      <rPr>
        <sz val="10"/>
        <color rgb="FF000000"/>
        <rFont val="微软雅黑"/>
        <family val="2"/>
      </rPr>
      <t xml:space="preserve">最好；</t>
    </r>
    <r>
      <rPr>
        <sz val="10"/>
        <color rgb="FF000000"/>
        <rFont val="微软雅黑"/>
        <family val="0"/>
        <charset val="1"/>
      </rPr>
      <t xml:space="preserve">5VA / 5VB </t>
    </r>
    <r>
      <rPr>
        <sz val="10"/>
        <color rgb="FF000000"/>
        <rFont val="微软雅黑"/>
        <family val="2"/>
      </rPr>
      <t xml:space="preserve">是更严的等级</t>
    </r>
  </si>
  <si>
    <t xml:space="preserve">TDS</t>
  </si>
  <si>
    <t xml:space="preserve">材料技术数据表，由材料厂提供</t>
  </si>
  <si>
    <r>
      <rPr>
        <b val="true"/>
        <sz val="16"/>
        <color rgb="FF1F3A5F"/>
        <rFont val="微软雅黑"/>
        <family val="2"/>
      </rPr>
      <t xml:space="preserve">资料来源（检索日期 </t>
    </r>
    <r>
      <rPr>
        <b val="true"/>
        <sz val="16"/>
        <color rgb="FF1F3A5F"/>
        <rFont val="微软雅黑"/>
        <family val="0"/>
        <charset val="1"/>
      </rPr>
      <t xml:space="preserve">2026-10-09</t>
    </r>
    <r>
      <rPr>
        <b val="true"/>
        <sz val="16"/>
        <color rgb="FF1F3A5F"/>
        <rFont val="微软雅黑"/>
        <family val="2"/>
      </rPr>
      <t xml:space="preserve">）</t>
    </r>
  </si>
  <si>
    <r>
      <rPr>
        <sz val="10"/>
        <color rgb="FF595959"/>
        <rFont val="微软雅黑"/>
        <family val="2"/>
      </rPr>
      <t xml:space="preserve">标准的现行状态来自标准目录和第三方页面，签合同前请到全国标准信息公共服务平台（</t>
    </r>
    <r>
      <rPr>
        <sz val="10"/>
        <color rgb="FF595959"/>
        <rFont val="微软雅黑"/>
        <family val="0"/>
        <charset val="1"/>
      </rPr>
      <t xml:space="preserve">std.samr.gov.cn</t>
    </r>
    <r>
      <rPr>
        <sz val="10"/>
        <color rgb="FF595959"/>
        <rFont val="微软雅黑"/>
        <family val="2"/>
      </rPr>
      <t xml:space="preserve">）按标准号再核对一次。标注「国家标准馆检索」的条目，请到 </t>
    </r>
    <r>
      <rPr>
        <sz val="10"/>
        <color rgb="FF595959"/>
        <rFont val="微软雅黑"/>
        <family val="0"/>
        <charset val="1"/>
      </rPr>
      <t xml:space="preserve">ndls.org.cn </t>
    </r>
    <r>
      <rPr>
        <sz val="10"/>
        <color rgb="FF595959"/>
        <rFont val="微软雅黑"/>
        <family val="2"/>
      </rPr>
      <t xml:space="preserve">按标准号查询。</t>
    </r>
  </si>
  <si>
    <r>
      <rPr>
        <b val="true"/>
        <sz val="10"/>
        <color rgb="FFFFFFFF"/>
        <rFont val="微软雅黑"/>
        <family val="2"/>
      </rPr>
      <t xml:space="preserve">资料 </t>
    </r>
    <r>
      <rPr>
        <b val="true"/>
        <sz val="10"/>
        <color rgb="FFFFFFFF"/>
        <rFont val="微软雅黑"/>
        <family val="0"/>
        <charset val="1"/>
      </rPr>
      <t xml:space="preserve">/ </t>
    </r>
    <r>
      <rPr>
        <b val="true"/>
        <sz val="10"/>
        <color rgb="FFFFFFFF"/>
        <rFont val="微软雅黑"/>
        <family val="2"/>
      </rPr>
      <t xml:space="preserve">支撑的内容</t>
    </r>
  </si>
  <si>
    <t xml:space="preserve">用于</t>
  </si>
  <si>
    <t xml:space="preserve">链接</t>
  </si>
  <si>
    <t xml:space="preserve">S01</t>
  </si>
  <si>
    <r>
      <rPr>
        <sz val="10"/>
        <color rgb="FF000000"/>
        <rFont val="微软雅黑"/>
        <family val="0"/>
        <charset val="1"/>
      </rPr>
      <t xml:space="preserve">GB/T 9286-2021 </t>
    </r>
    <r>
      <rPr>
        <sz val="10"/>
        <color rgb="FF000000"/>
        <rFont val="微软雅黑"/>
        <family val="2"/>
      </rPr>
      <t xml:space="preserve">色漆和清漆 划格试验：等同采用 </t>
    </r>
    <r>
      <rPr>
        <sz val="10"/>
        <color rgb="FF000000"/>
        <rFont val="微软雅黑"/>
        <family val="0"/>
        <charset val="1"/>
      </rPr>
      <t xml:space="preserve">ISO 2409:2020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2022-03-01 </t>
    </r>
    <r>
      <rPr>
        <sz val="10"/>
        <color rgb="FF000000"/>
        <rFont val="微软雅黑"/>
        <family val="2"/>
      </rPr>
      <t xml:space="preserve">实施，代替 </t>
    </r>
    <r>
      <rPr>
        <sz val="10"/>
        <color rgb="FF000000"/>
        <rFont val="微软雅黑"/>
        <family val="0"/>
        <charset val="1"/>
      </rPr>
      <t xml:space="preserve">1998 </t>
    </r>
    <r>
      <rPr>
        <sz val="10"/>
        <color rgb="FF000000"/>
        <rFont val="微软雅黑"/>
        <family val="2"/>
      </rPr>
      <t xml:space="preserve">版；</t>
    </r>
    <r>
      <rPr>
        <sz val="10"/>
        <color rgb="FF000000"/>
        <rFont val="微软雅黑"/>
        <family val="0"/>
        <charset val="1"/>
      </rPr>
      <t xml:space="preserve">0–5 </t>
    </r>
    <r>
      <rPr>
        <sz val="10"/>
        <color rgb="FF000000"/>
        <rFont val="微软雅黑"/>
        <family val="2"/>
      </rPr>
      <t xml:space="preserve">级分级</t>
    </r>
  </si>
  <si>
    <r>
      <rPr>
        <sz val="10"/>
        <color rgb="FF000000"/>
        <rFont val="微软雅黑"/>
        <family val="0"/>
        <charset val="1"/>
      </rPr>
      <t xml:space="preserve">T01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T05</t>
    </r>
  </si>
  <si>
    <r>
      <rPr>
        <sz val="9"/>
        <color rgb="FF1F4E9A"/>
        <rFont val="微软雅黑"/>
        <family val="2"/>
      </rPr>
      <t xml:space="preserve">国家标准馆检索（</t>
    </r>
    <r>
      <rPr>
        <sz val="9"/>
        <color rgb="FF1F4E9A"/>
        <rFont val="微软雅黑"/>
        <family val="0"/>
        <charset val="1"/>
      </rPr>
      <t xml:space="preserve">ndls.org.cn</t>
    </r>
    <r>
      <rPr>
        <sz val="9"/>
        <color rgb="FF1F4E9A"/>
        <rFont val="微软雅黑"/>
        <family val="2"/>
      </rPr>
      <t xml:space="preserve">）
</t>
    </r>
    <r>
      <rPr>
        <sz val="9"/>
        <color rgb="FF1F4E9A"/>
        <rFont val="微软雅黑"/>
        <family val="0"/>
        <charset val="1"/>
      </rPr>
      <t xml:space="preserve">https://genorma.com/en/standards/iso-2409-2020</t>
    </r>
  </si>
  <si>
    <t xml:space="preserve">S02</t>
  </si>
  <si>
    <r>
      <rPr>
        <sz val="10"/>
        <color rgb="FF000000"/>
        <rFont val="微软雅黑"/>
        <family val="0"/>
        <charset val="1"/>
      </rPr>
      <t xml:space="preserve">ASTM D3359 </t>
    </r>
    <r>
      <rPr>
        <sz val="10"/>
        <color rgb="FF000000"/>
        <rFont val="微软雅黑"/>
        <family val="2"/>
      </rPr>
      <t xml:space="preserve">分级：</t>
    </r>
    <r>
      <rPr>
        <sz val="10"/>
        <color rgb="FF000000"/>
        <rFont val="微软雅黑"/>
        <family val="0"/>
        <charset val="1"/>
      </rPr>
      <t xml:space="preserve">5B</t>
    </r>
    <r>
      <rPr>
        <sz val="10"/>
        <color rgb="FF000000"/>
        <rFont val="微软雅黑"/>
        <family val="2"/>
      </rPr>
      <t xml:space="preserve">（无脱落）到 </t>
    </r>
    <r>
      <rPr>
        <sz val="10"/>
        <color rgb="FF000000"/>
        <rFont val="微软雅黑"/>
        <family val="0"/>
        <charset val="1"/>
      </rPr>
      <t xml:space="preserve">0B</t>
    </r>
    <r>
      <rPr>
        <sz val="10"/>
        <color rgb="FF000000"/>
        <rFont val="微软雅黑"/>
        <family val="2"/>
      </rPr>
      <t xml:space="preserve">；与 </t>
    </r>
    <r>
      <rPr>
        <sz val="10"/>
        <color rgb="FF000000"/>
        <rFont val="微软雅黑"/>
        <family val="0"/>
        <charset val="1"/>
      </rPr>
      <t xml:space="preserve">ISO 2409 </t>
    </r>
    <r>
      <rPr>
        <sz val="10"/>
        <color rgb="FF000000"/>
        <rFont val="微软雅黑"/>
        <family val="2"/>
      </rPr>
      <t xml:space="preserve">的百分比分档对应</t>
    </r>
  </si>
  <si>
    <t xml:space="preserve">https://dl.defelsko.com/pdf/manuals/PosiTestCH-InstructionManual.pdf
https://kta.com/?p=80100</t>
  </si>
  <si>
    <t xml:space="preserve">S03</t>
  </si>
  <si>
    <r>
      <rPr>
        <sz val="10"/>
        <color rgb="FF000000"/>
        <rFont val="微软雅黑"/>
        <family val="0"/>
        <charset val="1"/>
      </rPr>
      <t xml:space="preserve">GB/T 6739-2022 </t>
    </r>
    <r>
      <rPr>
        <sz val="10"/>
        <color rgb="FF000000"/>
        <rFont val="微软雅黑"/>
        <family val="2"/>
      </rPr>
      <t xml:space="preserve">铅笔法测定漆膜硬度：修改采用 </t>
    </r>
    <r>
      <rPr>
        <sz val="10"/>
        <color rgb="FF000000"/>
        <rFont val="微软雅黑"/>
        <family val="0"/>
        <charset val="1"/>
      </rPr>
      <t xml:space="preserve">ISO 15184:2020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2023-07-01 </t>
    </r>
    <r>
      <rPr>
        <sz val="10"/>
        <color rgb="FF000000"/>
        <rFont val="微软雅黑"/>
        <family val="2"/>
      </rPr>
      <t xml:space="preserve">实施，代替 </t>
    </r>
    <r>
      <rPr>
        <sz val="10"/>
        <color rgb="FF000000"/>
        <rFont val="微软雅黑"/>
        <family val="0"/>
        <charset val="1"/>
      </rPr>
      <t xml:space="preserve">2006 </t>
    </r>
    <r>
      <rPr>
        <sz val="10"/>
        <color rgb="FF000000"/>
        <rFont val="微软雅黑"/>
        <family val="2"/>
      </rPr>
      <t xml:space="preserve">版</t>
    </r>
  </si>
  <si>
    <t xml:space="preserve">https://www.chinesestandard.net/PDF.aspx/GBT6739-2022</t>
  </si>
  <si>
    <t xml:space="preserve">S04</t>
  </si>
  <si>
    <r>
      <rPr>
        <sz val="10"/>
        <color rgb="FF000000"/>
        <rFont val="微软雅黑"/>
        <family val="2"/>
      </rPr>
      <t xml:space="preserve">铅笔硬度仪：</t>
    </r>
    <r>
      <rPr>
        <sz val="10"/>
        <color rgb="FF000000"/>
        <rFont val="微软雅黑"/>
        <family val="0"/>
        <charset val="1"/>
      </rPr>
      <t xml:space="preserve">750 g </t>
    </r>
    <r>
      <rPr>
        <sz val="10"/>
        <color rgb="FF000000"/>
        <rFont val="微软雅黑"/>
        <family val="2"/>
      </rPr>
      <t xml:space="preserve">载荷符合 </t>
    </r>
    <r>
      <rPr>
        <sz val="10"/>
        <color rgb="FF000000"/>
        <rFont val="微软雅黑"/>
        <family val="0"/>
        <charset val="1"/>
      </rPr>
      <t xml:space="preserve">ISO 15184</t>
    </r>
    <r>
      <rPr>
        <sz val="10"/>
        <color rgb="FF000000"/>
        <rFont val="微软雅黑"/>
        <family val="2"/>
      </rPr>
      <t xml:space="preserve">；部分行业规范用 </t>
    </r>
    <r>
      <rPr>
        <sz val="10"/>
        <color rgb="FF000000"/>
        <rFont val="微软雅黑"/>
        <family val="0"/>
        <charset val="1"/>
      </rPr>
      <t xml:space="preserve">500 g</t>
    </r>
  </si>
  <si>
    <t xml:space="preserve">https://tecmos.com/wp-content/uploads/2023/08/Hardness-Test-Wolff-Wilborn-VF2377-VF2391.pdf</t>
  </si>
  <si>
    <r>
      <rPr>
        <sz val="10"/>
        <color rgb="FF000000"/>
        <rFont val="微软雅黑"/>
        <family val="0"/>
        <charset val="1"/>
      </rPr>
      <t xml:space="preserve">RCA </t>
    </r>
    <r>
      <rPr>
        <sz val="10"/>
        <color rgb="FF000000"/>
        <rFont val="微软雅黑"/>
        <family val="2"/>
      </rPr>
      <t xml:space="preserve">纸带耐磨仪（可选 </t>
    </r>
    <r>
      <rPr>
        <sz val="10"/>
        <color rgb="FF000000"/>
        <rFont val="微软雅黑"/>
        <family val="0"/>
        <charset val="1"/>
      </rPr>
      <t xml:space="preserve">55 / 175 / 275 g</t>
    </r>
    <r>
      <rPr>
        <sz val="10"/>
        <color rgb="FF000000"/>
        <rFont val="微软雅黑"/>
        <family val="2"/>
      </rPr>
      <t xml:space="preserve">）；</t>
    </r>
    <r>
      <rPr>
        <sz val="10"/>
        <color rgb="FF000000"/>
        <rFont val="微软雅黑"/>
        <family val="0"/>
        <charset val="1"/>
      </rPr>
      <t xml:space="preserve">ASTM F2357-10 </t>
    </r>
    <r>
      <rPr>
        <sz val="10"/>
        <color rgb="FF000000"/>
        <rFont val="微软雅黑"/>
        <family val="2"/>
      </rPr>
      <t xml:space="preserve">于 </t>
    </r>
    <r>
      <rPr>
        <sz val="10"/>
        <color rgb="FF000000"/>
        <rFont val="微软雅黑"/>
        <family val="0"/>
        <charset val="1"/>
      </rPr>
      <t xml:space="preserve">2017 </t>
    </r>
    <r>
      <rPr>
        <sz val="10"/>
        <color rgb="FF000000"/>
        <rFont val="微软雅黑"/>
        <family val="2"/>
      </rPr>
      <t xml:space="preserve">年撤销</t>
    </r>
  </si>
  <si>
    <t xml:space="preserve">https://www.element.com/resources/articles/what-is-rca-abrasion-testing
https://webstore.ansi.org/standards/astm/astmf235710
https://www.caltechindia.com/?p=8061</t>
  </si>
  <si>
    <t xml:space="preserve">S06</t>
  </si>
  <si>
    <r>
      <rPr>
        <sz val="10"/>
        <color rgb="FF000000"/>
        <rFont val="微软雅黑"/>
        <family val="0"/>
        <charset val="1"/>
      </rPr>
      <t xml:space="preserve">GB/T 2423.3-2016 </t>
    </r>
    <r>
      <rPr>
        <sz val="10"/>
        <color rgb="FF000000"/>
        <rFont val="微软雅黑"/>
        <family val="2"/>
      </rPr>
      <t xml:space="preserve">试验 </t>
    </r>
    <r>
      <rPr>
        <sz val="10"/>
        <color rgb="FF000000"/>
        <rFont val="微软雅黑"/>
        <family val="0"/>
        <charset val="1"/>
      </rPr>
      <t xml:space="preserve">Cab </t>
    </r>
    <r>
      <rPr>
        <sz val="10"/>
        <color rgb="FF000000"/>
        <rFont val="微软雅黑"/>
        <family val="2"/>
      </rPr>
      <t xml:space="preserve">恒定湿热：等同采用 </t>
    </r>
    <r>
      <rPr>
        <sz val="10"/>
        <color rgb="FF000000"/>
        <rFont val="微软雅黑"/>
        <family val="0"/>
        <charset val="1"/>
      </rPr>
      <t xml:space="preserve">IEC 60068-2-78:2012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2017-07-01 </t>
    </r>
    <r>
      <rPr>
        <sz val="10"/>
        <color rgb="FF000000"/>
        <rFont val="微软雅黑"/>
        <family val="2"/>
      </rPr>
      <t xml:space="preserve">实施</t>
    </r>
  </si>
  <si>
    <t xml:space="preserve">https://www.chinesestandard.net/PDF.aspx/GBT2423.3-2016</t>
  </si>
  <si>
    <r>
      <rPr>
        <sz val="10"/>
        <color rgb="FF000000"/>
        <rFont val="微软雅黑"/>
        <family val="0"/>
        <charset val="1"/>
      </rPr>
      <t xml:space="preserve">GB/T 2423.22-2012 </t>
    </r>
    <r>
      <rPr>
        <sz val="10"/>
        <color rgb="FF000000"/>
        <rFont val="微软雅黑"/>
        <family val="2"/>
      </rPr>
      <t xml:space="preserve">试验 </t>
    </r>
    <r>
      <rPr>
        <sz val="10"/>
        <color rgb="FF000000"/>
        <rFont val="微软雅黑"/>
        <family val="0"/>
        <charset val="1"/>
      </rPr>
      <t xml:space="preserve">N </t>
    </r>
    <r>
      <rPr>
        <sz val="10"/>
        <color rgb="FF000000"/>
        <rFont val="微软雅黑"/>
        <family val="2"/>
      </rPr>
      <t xml:space="preserve">温度变化：等同采用 </t>
    </r>
    <r>
      <rPr>
        <sz val="10"/>
        <color rgb="FF000000"/>
        <rFont val="微软雅黑"/>
        <family val="0"/>
        <charset val="1"/>
      </rPr>
      <t xml:space="preserve">IEC 60068-2-14:2009</t>
    </r>
  </si>
  <si>
    <t xml:space="preserve">https://www.chinesestandard.net/PDF.aspx/GBT2423.22-2012</t>
  </si>
  <si>
    <t xml:space="preserve">S08</t>
  </si>
  <si>
    <r>
      <rPr>
        <sz val="10"/>
        <color rgb="FF000000"/>
        <rFont val="微软雅黑"/>
        <family val="0"/>
        <charset val="1"/>
      </rPr>
      <t xml:space="preserve">GB/T 3979-2008 </t>
    </r>
    <r>
      <rPr>
        <sz val="10"/>
        <color rgb="FF000000"/>
        <rFont val="微软雅黑"/>
        <family val="2"/>
      </rPr>
      <t xml:space="preserve">物体色的测量方法；</t>
    </r>
    <r>
      <rPr>
        <sz val="10"/>
        <color rgb="FF000000"/>
        <rFont val="微软雅黑"/>
        <family val="0"/>
        <charset val="1"/>
      </rPr>
      <t xml:space="preserve">GB/T 7921-2008 </t>
    </r>
    <r>
      <rPr>
        <sz val="10"/>
        <color rgb="FF000000"/>
        <rFont val="微软雅黑"/>
        <family val="2"/>
      </rPr>
      <t xml:space="preserve">均匀色空间和色差公式（</t>
    </r>
    <r>
      <rPr>
        <sz val="10"/>
        <color rgb="FF000000"/>
        <rFont val="微软雅黑"/>
        <family val="0"/>
        <charset val="1"/>
      </rPr>
      <t xml:space="preserve">CIE 1976 L*a*b*</t>
    </r>
    <r>
      <rPr>
        <sz val="10"/>
        <color rgb="FF000000"/>
        <rFont val="微软雅黑"/>
        <family val="2"/>
      </rPr>
      <t xml:space="preserve">）</t>
    </r>
  </si>
  <si>
    <t xml:space="preserve">https://www.chinesestandard.net/Related.aspx/GBT3979-1997
https://www.chinesestandard.net/PDF/English.aspx/GBT7921-1997</t>
  </si>
  <si>
    <t xml:space="preserve">S09</t>
  </si>
  <si>
    <r>
      <rPr>
        <sz val="10"/>
        <color rgb="FF000000"/>
        <rFont val="微软雅黑"/>
        <family val="0"/>
        <charset val="1"/>
      </rPr>
      <t xml:space="preserve">ASTM E2194-14(2025) </t>
    </r>
    <r>
      <rPr>
        <sz val="10"/>
        <color rgb="FF000000"/>
        <rFont val="微软雅黑"/>
        <family val="2"/>
      </rPr>
      <t xml:space="preserve">金属片颜料材料的多角度颜色测量：需要三个测量角度</t>
    </r>
  </si>
  <si>
    <t xml:space="preserve">https://webstore.ansi.org/standards/astm/astme2194142025</t>
  </si>
  <si>
    <t xml:space="preserve">S10</t>
  </si>
  <si>
    <r>
      <rPr>
        <sz val="10"/>
        <color rgb="FF000000"/>
        <rFont val="微软雅黑"/>
        <family val="0"/>
        <charset val="1"/>
      </rPr>
      <t xml:space="preserve">15° / 45° / 110° </t>
    </r>
    <r>
      <rPr>
        <sz val="10"/>
        <color rgb="FF000000"/>
        <rFont val="微软雅黑"/>
        <family val="2"/>
      </rPr>
      <t xml:space="preserve">测量角（</t>
    </r>
    <r>
      <rPr>
        <sz val="10"/>
        <color rgb="FF000000"/>
        <rFont val="微软雅黑"/>
        <family val="0"/>
        <charset val="1"/>
      </rPr>
      <t xml:space="preserve">45° </t>
    </r>
    <r>
      <rPr>
        <sz val="10"/>
        <color rgb="FF000000"/>
        <rFont val="微软雅黑"/>
        <family val="2"/>
      </rPr>
      <t xml:space="preserve">照明）；</t>
    </r>
    <r>
      <rPr>
        <sz val="10"/>
        <color rgb="FF000000"/>
        <rFont val="微软雅黑"/>
        <family val="0"/>
        <charset val="1"/>
      </rPr>
      <t xml:space="preserve">X-Rite </t>
    </r>
    <r>
      <rPr>
        <sz val="10"/>
        <color rgb="FF000000"/>
        <rFont val="微软雅黑"/>
        <family val="2"/>
      </rPr>
      <t xml:space="preserve">多角度仪的角度定义</t>
    </r>
  </si>
  <si>
    <t xml:space="preserve">https://patents.justia.com/patent/4479718
https://www.xrite.com/service-support/WhatanglesareusedforFlashFaceandFlop</t>
  </si>
  <si>
    <t xml:space="preserve">S11</t>
  </si>
  <si>
    <r>
      <rPr>
        <sz val="10"/>
        <color rgb="FF000000"/>
        <rFont val="微软雅黑"/>
        <family val="0"/>
        <charset val="1"/>
      </rPr>
      <t xml:space="preserve">GB/T 8013.1-2018 </t>
    </r>
    <r>
      <rPr>
        <sz val="10"/>
        <color rgb="FF000000"/>
        <rFont val="微软雅黑"/>
        <family val="2"/>
      </rPr>
      <t xml:space="preserve">阳极氧化膜；「</t>
    </r>
    <r>
      <rPr>
        <sz val="10"/>
        <color rgb="FF000000"/>
        <rFont val="微软雅黑"/>
        <family val="0"/>
        <charset val="1"/>
      </rPr>
      <t xml:space="preserve">AA</t>
    </r>
    <r>
      <rPr>
        <sz val="10"/>
        <color rgb="FF000000"/>
        <rFont val="微软雅黑"/>
        <family val="2"/>
      </rPr>
      <t xml:space="preserve">」后的数字为最小平均膜厚限定值</t>
    </r>
  </si>
  <si>
    <t xml:space="preserve">https://www.gz.gov.cn/attachment/0/81/81517/5816228.docx</t>
  </si>
  <si>
    <t xml:space="preserve">S12</t>
  </si>
  <si>
    <r>
      <rPr>
        <sz val="10"/>
        <color rgb="FF000000"/>
        <rFont val="微软雅黑"/>
        <family val="0"/>
        <charset val="1"/>
      </rPr>
      <t xml:space="preserve">AA </t>
    </r>
    <r>
      <rPr>
        <sz val="10"/>
        <color rgb="FF000000"/>
        <rFont val="微软雅黑"/>
        <family val="2"/>
      </rPr>
      <t xml:space="preserve">膜厚级别的使用场景：</t>
    </r>
    <r>
      <rPr>
        <sz val="10"/>
        <color rgb="FF000000"/>
        <rFont val="微软雅黑"/>
        <family val="0"/>
        <charset val="1"/>
      </rPr>
      <t xml:space="preserve">AA10 </t>
    </r>
    <r>
      <rPr>
        <sz val="10"/>
        <color rgb="FF000000"/>
        <rFont val="微软雅黑"/>
        <family val="2"/>
      </rPr>
      <t xml:space="preserve">用于户外时要求能经常维护</t>
    </r>
  </si>
  <si>
    <t xml:space="preserve">https://www.awsaustralia.com.au/Content/cms/awscdn/files/AWS-WHITEPAPER_Anodising.pdf</t>
  </si>
  <si>
    <t xml:space="preserve">S13</t>
  </si>
  <si>
    <r>
      <rPr>
        <sz val="10"/>
        <color rgb="FF000000"/>
        <rFont val="微软雅黑"/>
        <family val="0"/>
        <charset val="1"/>
      </rPr>
      <t xml:space="preserve">GB/T 4957-2003 </t>
    </r>
    <r>
      <rPr>
        <sz val="10"/>
        <color rgb="FF000000"/>
        <rFont val="微软雅黑"/>
        <family val="2"/>
      </rPr>
      <t xml:space="preserve">非磁性基体金属上非导电覆盖层厚度测量 涡流法；</t>
    </r>
    <r>
      <rPr>
        <sz val="10"/>
        <color rgb="FF000000"/>
        <rFont val="微软雅黑"/>
        <family val="0"/>
        <charset val="1"/>
      </rPr>
      <t xml:space="preserve">ISO 2360 </t>
    </r>
    <r>
      <rPr>
        <sz val="10"/>
        <color rgb="FF000000"/>
        <rFont val="微软雅黑"/>
        <family val="2"/>
      </rPr>
      <t xml:space="preserve">适用于大多数阳极氧化膜</t>
    </r>
  </si>
  <si>
    <r>
      <rPr>
        <sz val="9"/>
        <color rgb="FF1F4E9A"/>
        <rFont val="微软雅黑"/>
        <family val="2"/>
      </rPr>
      <t xml:space="preserve">国家标准馆检索（</t>
    </r>
    <r>
      <rPr>
        <sz val="9"/>
        <color rgb="FF1F4E9A"/>
        <rFont val="微软雅黑"/>
        <family val="0"/>
        <charset val="1"/>
      </rPr>
      <t xml:space="preserve">ndls.org.cn</t>
    </r>
    <r>
      <rPr>
        <sz val="9"/>
        <color rgb="FF1F4E9A"/>
        <rFont val="微软雅黑"/>
        <family val="2"/>
      </rPr>
      <t xml:space="preserve">）</t>
    </r>
  </si>
  <si>
    <r>
      <rPr>
        <sz val="10"/>
        <color rgb="FF000000"/>
        <rFont val="微软雅黑"/>
        <family val="0"/>
        <charset val="1"/>
      </rPr>
      <t xml:space="preserve">GB/T 8753.1-2017</t>
    </r>
    <r>
      <rPr>
        <sz val="10"/>
        <color rgb="FF000000"/>
        <rFont val="微软雅黑"/>
        <family val="2"/>
      </rPr>
      <t xml:space="preserve">（酸浸蚀失重法）、</t>
    </r>
    <r>
      <rPr>
        <sz val="10"/>
        <color rgb="FF000000"/>
        <rFont val="微软雅黑"/>
        <family val="0"/>
        <charset val="1"/>
      </rPr>
      <t xml:space="preserve">GB/T 8753.3-2005</t>
    </r>
    <r>
      <rPr>
        <sz val="10"/>
        <color rgb="FF000000"/>
        <rFont val="微软雅黑"/>
        <family val="2"/>
      </rPr>
      <t xml:space="preserve">（导纳法）阳极氧化膜封孔质量评定</t>
    </r>
  </si>
  <si>
    <t xml:space="preserve">S15</t>
  </si>
  <si>
    <r>
      <rPr>
        <sz val="10"/>
        <color rgb="FF000000"/>
        <rFont val="微软雅黑"/>
        <family val="0"/>
        <charset val="1"/>
      </rPr>
      <t xml:space="preserve">GB/T 12967 </t>
    </r>
    <r>
      <rPr>
        <sz val="10"/>
        <color rgb="FF000000"/>
        <rFont val="微软雅黑"/>
        <family val="2"/>
      </rPr>
      <t xml:space="preserve">系列现行版本：</t>
    </r>
    <r>
      <rPr>
        <sz val="10"/>
        <color rgb="FF000000"/>
        <rFont val="微软雅黑"/>
        <family val="0"/>
        <charset val="1"/>
      </rPr>
      <t xml:space="preserve">.1-2020 </t>
    </r>
    <r>
      <rPr>
        <sz val="10"/>
        <color rgb="FF000000"/>
        <rFont val="微软雅黑"/>
        <family val="2"/>
      </rPr>
      <t xml:space="preserve">耐磨性、</t>
    </r>
    <r>
      <rPr>
        <sz val="10"/>
        <color rgb="FF000000"/>
        <rFont val="微软雅黑"/>
        <family val="0"/>
        <charset val="1"/>
      </rPr>
      <t xml:space="preserve">.3-2022 </t>
    </r>
    <r>
      <rPr>
        <sz val="10"/>
        <color rgb="FF000000"/>
        <rFont val="微软雅黑"/>
        <family val="2"/>
      </rPr>
      <t xml:space="preserve">盐雾试验、</t>
    </r>
    <r>
      <rPr>
        <sz val="10"/>
        <color rgb="FF000000"/>
        <rFont val="微软雅黑"/>
        <family val="0"/>
        <charset val="1"/>
      </rPr>
      <t xml:space="preserve">.6-2022 </t>
    </r>
    <r>
      <rPr>
        <sz val="10"/>
        <color rgb="FF000000"/>
        <rFont val="微软雅黑"/>
        <family val="2"/>
      </rPr>
      <t xml:space="preserve">颜色和外观</t>
    </r>
  </si>
  <si>
    <r>
      <rPr>
        <sz val="10"/>
        <color rgb="FF000000"/>
        <rFont val="微软雅黑"/>
        <family val="0"/>
        <charset val="1"/>
      </rPr>
      <t xml:space="preserve">T10</t>
    </r>
    <r>
      <rPr>
        <sz val="10"/>
        <color rgb="FF000000"/>
        <rFont val="微软雅黑"/>
        <family val="2"/>
      </rPr>
      <t xml:space="preserve">、</t>
    </r>
    <r>
      <rPr>
        <sz val="10"/>
        <color rgb="FF000000"/>
        <rFont val="微软雅黑"/>
        <family val="0"/>
        <charset val="1"/>
      </rPr>
      <t xml:space="preserve">T11</t>
    </r>
  </si>
  <si>
    <t xml:space="preserve">https://www.chinesestandard.net/Related.aspx/GBT12967.6-2008
https://www.chinesestandard.net/Related.aspx/GBT12967.3-2008</t>
  </si>
  <si>
    <t xml:space="preserve">S16</t>
  </si>
  <si>
    <r>
      <rPr>
        <sz val="10"/>
        <color rgb="FF000000"/>
        <rFont val="微软雅黑"/>
        <family val="0"/>
        <charset val="1"/>
      </rPr>
      <t xml:space="preserve">GB/T 10125-2021 </t>
    </r>
    <r>
      <rPr>
        <sz val="10"/>
        <color rgb="FF000000"/>
        <rFont val="微软雅黑"/>
        <family val="2"/>
      </rPr>
      <t xml:space="preserve">盐雾试验：修改采用 </t>
    </r>
    <r>
      <rPr>
        <sz val="10"/>
        <color rgb="FF000000"/>
        <rFont val="微软雅黑"/>
        <family val="0"/>
        <charset val="1"/>
      </rPr>
      <t xml:space="preserve">ISO 9227:2017</t>
    </r>
    <r>
      <rPr>
        <sz val="10"/>
        <color rgb="FF000000"/>
        <rFont val="微软雅黑"/>
        <family val="2"/>
      </rPr>
      <t xml:space="preserve">；</t>
    </r>
    <r>
      <rPr>
        <sz val="10"/>
        <color rgb="FF000000"/>
        <rFont val="微软雅黑"/>
        <family val="0"/>
        <charset val="1"/>
      </rPr>
      <t xml:space="preserve">NSS </t>
    </r>
    <r>
      <rPr>
        <sz val="10"/>
        <color rgb="FF000000"/>
        <rFont val="微软雅黑"/>
        <family val="2"/>
      </rPr>
      <t xml:space="preserve">适用于阳极氧化膜；不规定产品试验周期和判定</t>
    </r>
  </si>
  <si>
    <t xml:space="preserve">https://www.chinesestandard.net/Related.aspx/GBT10125-2021</t>
  </si>
  <si>
    <r>
      <rPr>
        <sz val="10"/>
        <color rgb="FF000000"/>
        <rFont val="微软雅黑"/>
        <family val="0"/>
        <charset val="1"/>
      </rPr>
      <t xml:space="preserve">GB/T 2410-2008 </t>
    </r>
    <r>
      <rPr>
        <sz val="10"/>
        <color rgb="FF000000"/>
        <rFont val="微软雅黑"/>
        <family val="2"/>
      </rPr>
      <t xml:space="preserve">透明塑料透光率和雾度的测定</t>
    </r>
  </si>
  <si>
    <t xml:space="preserve">https://www.chinesestandard.net/PDF.aspx/GBT2410-2008</t>
  </si>
  <si>
    <t xml:space="preserve">S18</t>
  </si>
  <si>
    <r>
      <rPr>
        <sz val="10"/>
        <color rgb="FF000000"/>
        <rFont val="微软雅黑"/>
        <family val="0"/>
        <charset val="1"/>
      </rPr>
      <t xml:space="preserve">GB/T 9754-2025 </t>
    </r>
    <r>
      <rPr>
        <sz val="10"/>
        <color rgb="FF000000"/>
        <rFont val="微软雅黑"/>
        <family val="2"/>
      </rPr>
      <t xml:space="preserve">光泽测定：等同采用 </t>
    </r>
    <r>
      <rPr>
        <sz val="10"/>
        <color rgb="FF000000"/>
        <rFont val="微软雅黑"/>
        <family val="0"/>
        <charset val="1"/>
      </rPr>
      <t xml:space="preserve">ISO 2813:2014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2026-01-01 </t>
    </r>
    <r>
      <rPr>
        <sz val="10"/>
        <color rgb="FF000000"/>
        <rFont val="微软雅黑"/>
        <family val="2"/>
      </rPr>
      <t xml:space="preserve">实施，代替 </t>
    </r>
    <r>
      <rPr>
        <sz val="10"/>
        <color rgb="FF000000"/>
        <rFont val="微软雅黑"/>
        <family val="0"/>
        <charset val="1"/>
      </rPr>
      <t xml:space="preserve">2007 </t>
    </r>
    <r>
      <rPr>
        <sz val="10"/>
        <color rgb="FF000000"/>
        <rFont val="微软雅黑"/>
        <family val="2"/>
      </rPr>
      <t xml:space="preserve">版；</t>
    </r>
    <r>
      <rPr>
        <sz val="10"/>
        <color rgb="FF000000"/>
        <rFont val="微软雅黑"/>
        <family val="0"/>
        <charset val="1"/>
      </rPr>
      <t xml:space="preserve">ISO 2813 </t>
    </r>
    <r>
      <rPr>
        <sz val="10"/>
        <color rgb="FF000000"/>
        <rFont val="微软雅黑"/>
        <family val="2"/>
      </rPr>
      <t xml:space="preserve">不适用于金属漆</t>
    </r>
  </si>
  <si>
    <t xml:space="preserve">https://www.chinesestandard.net/PDF/English.aspx/GBT9754-2025
https://www.evs.ee/en/evs-en-iso-2813-1999</t>
  </si>
  <si>
    <t xml:space="preserve">S19</t>
  </si>
  <si>
    <r>
      <rPr>
        <sz val="10"/>
        <color rgb="FF000000"/>
        <rFont val="微软雅黑"/>
        <family val="0"/>
        <charset val="1"/>
      </rPr>
      <t xml:space="preserve">GB/T 8807-1988 </t>
    </r>
    <r>
      <rPr>
        <sz val="10"/>
        <color rgb="FF000000"/>
        <rFont val="微软雅黑"/>
        <family val="2"/>
      </rPr>
      <t xml:space="preserve">塑料镜面光泽试验方法</t>
    </r>
  </si>
  <si>
    <t xml:space="preserve">S20</t>
  </si>
  <si>
    <r>
      <rPr>
        <sz val="10"/>
        <color rgb="FF000000"/>
        <rFont val="微软雅黑"/>
        <family val="0"/>
        <charset val="1"/>
      </rPr>
      <t xml:space="preserve">Star Rapid </t>
    </r>
    <r>
      <rPr>
        <sz val="10"/>
        <color rgb="FF000000"/>
        <rFont val="微软雅黑"/>
        <family val="2"/>
      </rPr>
      <t xml:space="preserve">注塑件外观质量标准：观察距离 </t>
    </r>
    <r>
      <rPr>
        <sz val="10"/>
        <color rgb="FF000000"/>
        <rFont val="微软雅黑"/>
        <family val="0"/>
        <charset val="1"/>
      </rPr>
      <t xml:space="preserve">300 mm ± 50 mm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D65 </t>
    </r>
    <r>
      <rPr>
        <sz val="10"/>
        <color rgb="FF000000"/>
        <rFont val="微软雅黑"/>
        <family val="2"/>
      </rPr>
      <t xml:space="preserve">光源 </t>
    </r>
    <r>
      <rPr>
        <sz val="10"/>
        <color rgb="FF000000"/>
        <rFont val="微软雅黑"/>
        <family val="0"/>
        <charset val="1"/>
      </rPr>
      <t xml:space="preserve">1000 lux ± 200</t>
    </r>
  </si>
  <si>
    <t xml:space="preserve">https://www.starrapid.com/wp-content/uploads/2016/11/Visual-Quality-Standards-For-Plastic-Injection-Molding.pdf</t>
  </si>
  <si>
    <t xml:space="preserve">S21</t>
  </si>
  <si>
    <r>
      <rPr>
        <sz val="10"/>
        <color rgb="FF000000"/>
        <rFont val="微软雅黑"/>
        <family val="0"/>
        <charset val="1"/>
      </rPr>
      <t xml:space="preserve">Vitra VN 02.001 </t>
    </r>
    <r>
      <rPr>
        <sz val="10"/>
        <color rgb="FF000000"/>
        <rFont val="微软雅黑"/>
        <family val="2"/>
      </rPr>
      <t xml:space="preserve">塑料件质量要求：</t>
    </r>
    <r>
      <rPr>
        <sz val="10"/>
        <color rgb="FF000000"/>
        <rFont val="微软雅黑"/>
        <family val="0"/>
        <charset val="1"/>
      </rPr>
      <t xml:space="preserve">A/B/C </t>
    </r>
    <r>
      <rPr>
        <sz val="10"/>
        <color rgb="FF000000"/>
        <rFont val="微软雅黑"/>
        <family val="2"/>
      </rPr>
      <t xml:space="preserve">面分类，</t>
    </r>
    <r>
      <rPr>
        <sz val="10"/>
        <color rgb="FF000000"/>
        <rFont val="微软雅黑"/>
        <family val="0"/>
        <charset val="1"/>
      </rPr>
      <t xml:space="preserve">1000 lux</t>
    </r>
    <r>
      <rPr>
        <sz val="10"/>
        <color rgb="FF000000"/>
        <rFont val="微软雅黑"/>
        <family val="2"/>
      </rPr>
      <t xml:space="preserve">，观察距离 </t>
    </r>
    <r>
      <rPr>
        <sz val="10"/>
        <color rgb="FF000000"/>
        <rFont val="微软雅黑"/>
        <family val="0"/>
        <charset val="1"/>
      </rPr>
      <t xml:space="preserve">0.3–0.9 m</t>
    </r>
    <r>
      <rPr>
        <sz val="10"/>
        <color rgb="FF000000"/>
        <rFont val="微软雅黑"/>
        <family val="2"/>
      </rPr>
      <t xml:space="preserve">，</t>
    </r>
    <r>
      <rPr>
        <sz val="10"/>
        <color rgb="FF000000"/>
        <rFont val="微软雅黑"/>
        <family val="0"/>
        <charset val="1"/>
      </rPr>
      <t xml:space="preserve">10 s </t>
    </r>
    <r>
      <rPr>
        <sz val="10"/>
        <color rgb="FF000000"/>
        <rFont val="微软雅黑"/>
        <family val="2"/>
      </rPr>
      <t xml:space="preserve">内检出</t>
    </r>
  </si>
  <si>
    <t xml:space="preserve">https://static.vitra.com/media/asset/2606370/storage/master/download/VN-02001%2520Quality%2520requirements%2520and%2520characteristics%2520of%2520plastic%2520parts.pdf</t>
  </si>
  <si>
    <r>
      <rPr>
        <sz val="10"/>
        <color rgb="FF000000"/>
        <rFont val="微软雅黑"/>
        <family val="0"/>
        <charset val="1"/>
      </rPr>
      <t xml:space="preserve">GB/T 2828.1-2012 </t>
    </r>
    <r>
      <rPr>
        <sz val="10"/>
        <color rgb="FF000000"/>
        <rFont val="微软雅黑"/>
        <family val="2"/>
      </rPr>
      <t xml:space="preserve">计数抽样检验程序：等同采用 </t>
    </r>
    <r>
      <rPr>
        <sz val="10"/>
        <color rgb="FF000000"/>
        <rFont val="微软雅黑"/>
        <family val="0"/>
        <charset val="1"/>
      </rPr>
      <t xml:space="preserve">ISO 2859-1:1999</t>
    </r>
  </si>
  <si>
    <t xml:space="preserve">https://chemical.chemlinked.com/database/view/1424</t>
  </si>
  <si>
    <r>
      <rPr>
        <sz val="10"/>
        <color rgb="FF000000"/>
        <rFont val="微软雅黑"/>
        <family val="0"/>
        <charset val="1"/>
      </rPr>
      <t xml:space="preserve">GB/T 14486-2008 </t>
    </r>
    <r>
      <rPr>
        <sz val="10"/>
        <color rgb="FF000000"/>
        <rFont val="微软雅黑"/>
        <family val="2"/>
      </rPr>
      <t xml:space="preserve">塑料模塑件尺寸公差；</t>
    </r>
    <r>
      <rPr>
        <sz val="10"/>
        <color rgb="FF000000"/>
        <rFont val="微软雅黑"/>
        <family val="0"/>
        <charset val="1"/>
      </rPr>
      <t xml:space="preserve">GB/T 47067-2026 </t>
    </r>
    <r>
      <rPr>
        <sz val="10"/>
        <color rgb="FF000000"/>
        <rFont val="微软雅黑"/>
        <family val="2"/>
      </rPr>
      <t xml:space="preserve">发布线索；</t>
    </r>
    <r>
      <rPr>
        <sz val="10"/>
        <color rgb="FF000000"/>
        <rFont val="微软雅黑"/>
        <family val="0"/>
        <charset val="1"/>
      </rPr>
      <t xml:space="preserve">ISO 20457</t>
    </r>
  </si>
  <si>
    <t xml:space="preserve">https://www.chinesestandard.net/PDF.aspx/GBT14486-2008
https://www.instrument.com.cn/download/shtml/1407998.shtml
https://www.iso.org/standard/20457</t>
  </si>
  <si>
    <t xml:space="preserve">S24</t>
  </si>
  <si>
    <r>
      <rPr>
        <sz val="10"/>
        <color rgb="FF000000"/>
        <rFont val="微软雅黑"/>
        <family val="2"/>
      </rPr>
      <t xml:space="preserve">中国 </t>
    </r>
    <r>
      <rPr>
        <sz val="10"/>
        <color rgb="FF000000"/>
        <rFont val="微软雅黑"/>
        <family val="0"/>
        <charset val="1"/>
      </rPr>
      <t xml:space="preserve">RoHS</t>
    </r>
    <r>
      <rPr>
        <sz val="10"/>
        <color rgb="FF000000"/>
        <rFont val="微软雅黑"/>
        <family val="2"/>
      </rPr>
      <t xml:space="preserve">：工信部第 </t>
    </r>
    <r>
      <rPr>
        <sz val="10"/>
        <color rgb="FF000000"/>
        <rFont val="微软雅黑"/>
        <family val="0"/>
        <charset val="1"/>
      </rPr>
      <t xml:space="preserve">32 </t>
    </r>
    <r>
      <rPr>
        <sz val="10"/>
        <color rgb="FF000000"/>
        <rFont val="微软雅黑"/>
        <family val="2"/>
      </rPr>
      <t xml:space="preserve">号令（</t>
    </r>
    <r>
      <rPr>
        <sz val="10"/>
        <color rgb="FF000000"/>
        <rFont val="微软雅黑"/>
        <family val="0"/>
        <charset val="1"/>
      </rPr>
      <t xml:space="preserve">2016-07-01 </t>
    </r>
    <r>
      <rPr>
        <sz val="10"/>
        <color rgb="FF000000"/>
        <rFont val="微软雅黑"/>
        <family val="2"/>
      </rPr>
      <t xml:space="preserve">施行）、</t>
    </r>
    <r>
      <rPr>
        <sz val="10"/>
        <color rgb="FF000000"/>
        <rFont val="微软雅黑"/>
        <family val="0"/>
        <charset val="1"/>
      </rPr>
      <t xml:space="preserve">SJ/T 11364 </t>
    </r>
    <r>
      <rPr>
        <sz val="10"/>
        <color rgb="FF000000"/>
        <rFont val="微软雅黑"/>
        <family val="2"/>
      </rPr>
      <t xml:space="preserve">标识、</t>
    </r>
    <r>
      <rPr>
        <sz val="10"/>
        <color rgb="FF000000"/>
        <rFont val="微软雅黑"/>
        <family val="0"/>
        <charset val="1"/>
      </rPr>
      <t xml:space="preserve">GB/T 26572 </t>
    </r>
    <r>
      <rPr>
        <sz val="10"/>
        <color rgb="FF000000"/>
        <rFont val="微软雅黑"/>
        <family val="2"/>
      </rPr>
      <t xml:space="preserve">判定</t>
    </r>
  </si>
  <si>
    <t xml:space="preserve">https://www.renishaw.com/resourcecentre/en/download/rohs-rohs-gpb--119256
https://www.seagate.com/cn/zh/manuals/compliance-information/</t>
  </si>
  <si>
    <t xml:space="preserve">S25</t>
  </si>
  <si>
    <r>
      <rPr>
        <sz val="10"/>
        <color rgb="FF000000"/>
        <rFont val="微软雅黑"/>
        <family val="2"/>
      </rPr>
      <t xml:space="preserve">欧盟 </t>
    </r>
    <r>
      <rPr>
        <sz val="10"/>
        <color rgb="FF000000"/>
        <rFont val="微软雅黑"/>
        <family val="0"/>
        <charset val="1"/>
      </rPr>
      <t xml:space="preserve">RoHS</t>
    </r>
    <r>
      <rPr>
        <sz val="10"/>
        <color rgb="FF000000"/>
        <rFont val="微软雅黑"/>
        <family val="2"/>
      </rPr>
      <t xml:space="preserve">：</t>
    </r>
    <r>
      <rPr>
        <sz val="10"/>
        <color rgb="FF000000"/>
        <rFont val="微软雅黑"/>
        <family val="0"/>
        <charset val="1"/>
      </rPr>
      <t xml:space="preserve">(EU) 2015/863 </t>
    </r>
    <r>
      <rPr>
        <sz val="10"/>
        <color rgb="FF000000"/>
        <rFont val="微软雅黑"/>
        <family val="2"/>
      </rPr>
      <t xml:space="preserve">新增 </t>
    </r>
    <r>
      <rPr>
        <sz val="10"/>
        <color rgb="FF000000"/>
        <rFont val="微软雅黑"/>
        <family val="0"/>
        <charset val="1"/>
      </rPr>
      <t xml:space="preserve">4 </t>
    </r>
    <r>
      <rPr>
        <sz val="10"/>
        <color rgb="FF000000"/>
        <rFont val="微软雅黑"/>
        <family val="2"/>
      </rPr>
      <t xml:space="preserve">种邻苯；共 </t>
    </r>
    <r>
      <rPr>
        <sz val="10"/>
        <color rgb="FF000000"/>
        <rFont val="微软雅黑"/>
        <family val="0"/>
        <charset val="1"/>
      </rPr>
      <t xml:space="preserve">10 </t>
    </r>
    <r>
      <rPr>
        <sz val="10"/>
        <color rgb="FF000000"/>
        <rFont val="微软雅黑"/>
        <family val="2"/>
      </rPr>
      <t xml:space="preserve">项，镉 </t>
    </r>
    <r>
      <rPr>
        <sz val="10"/>
        <color rgb="FF000000"/>
        <rFont val="微软雅黑"/>
        <family val="0"/>
        <charset val="1"/>
      </rPr>
      <t xml:space="preserve">0.01%</t>
    </r>
    <r>
      <rPr>
        <sz val="10"/>
        <color rgb="FF000000"/>
        <rFont val="微软雅黑"/>
        <family val="2"/>
      </rPr>
      <t xml:space="preserve">，其余 </t>
    </r>
    <r>
      <rPr>
        <sz val="10"/>
        <color rgb="FF000000"/>
        <rFont val="微软雅黑"/>
        <family val="0"/>
        <charset val="1"/>
      </rPr>
      <t xml:space="preserve">0.1%</t>
    </r>
  </si>
  <si>
    <t xml:space="preserve">https://www.chemsafetypro.com/Topics/Restriction/Directive_EU_2015_863_EU_RoHS_Restricts_4_Phthalates_DEHP_BBP_DBP_DIBP.html
https://www.gov.uk/government/news/rohs-additional-restricted-substances</t>
  </si>
  <si>
    <r>
      <rPr>
        <sz val="10"/>
        <color rgb="FF000000"/>
        <rFont val="微软雅黑"/>
        <family val="0"/>
        <charset val="1"/>
      </rPr>
      <t xml:space="preserve">GB 4943.1-2022 </t>
    </r>
    <r>
      <rPr>
        <sz val="10"/>
        <color rgb="FF000000"/>
        <rFont val="微软雅黑"/>
        <family val="2"/>
      </rPr>
      <t xml:space="preserve">音视频、信息技术和通信技术设备安全：</t>
    </r>
    <r>
      <rPr>
        <sz val="10"/>
        <color rgb="FF000000"/>
        <rFont val="微软雅黑"/>
        <family val="0"/>
        <charset val="1"/>
      </rPr>
      <t xml:space="preserve">2023-08-01 </t>
    </r>
    <r>
      <rPr>
        <sz val="10"/>
        <color rgb="FF000000"/>
        <rFont val="微软雅黑"/>
        <family val="2"/>
      </rPr>
      <t xml:space="preserve">实施，基于 </t>
    </r>
    <r>
      <rPr>
        <sz val="10"/>
        <color rgb="FF000000"/>
        <rFont val="微软雅黑"/>
        <family val="0"/>
        <charset val="1"/>
      </rPr>
      <t xml:space="preserve">IEC 62368-1:2018</t>
    </r>
  </si>
  <si>
    <t xml:space="preserve">https://www.ul.com/news/publication-china-national-standard-gb-49431-2022
https://www.tuvsud.com/en/knowledge-hub/technical-updates/consumer-products-and-retail-essentials/china-enforcement-of-audio-video-information-and-communication-technology-equipment</t>
  </si>
  <si>
    <t xml:space="preserve">S27</t>
  </si>
  <si>
    <r>
      <rPr>
        <sz val="10"/>
        <color rgb="FF000000"/>
        <rFont val="微软雅黑"/>
        <family val="0"/>
        <charset val="1"/>
      </rPr>
      <t xml:space="preserve">VDI 3400 </t>
    </r>
    <r>
      <rPr>
        <sz val="10"/>
        <color rgb="FF000000"/>
        <rFont val="微软雅黑"/>
        <family val="2"/>
      </rPr>
      <t xml:space="preserve">等级与 </t>
    </r>
    <r>
      <rPr>
        <sz val="10"/>
        <color rgb="FF000000"/>
        <rFont val="微软雅黑"/>
        <family val="0"/>
        <charset val="1"/>
      </rPr>
      <t xml:space="preserve">Ra </t>
    </r>
    <r>
      <rPr>
        <sz val="10"/>
        <color rgb="FF000000"/>
        <rFont val="微软雅黑"/>
        <family val="2"/>
      </rPr>
      <t xml:space="preserve">对照</t>
    </r>
  </si>
  <si>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清单、工艺参考 </t>
    </r>
    <r>
      <rPr>
        <sz val="10"/>
        <color rgb="FF000000"/>
        <rFont val="微软雅黑"/>
        <family val="0"/>
        <charset val="1"/>
      </rPr>
      <t xml:space="preserve">A</t>
    </r>
  </si>
  <si>
    <t xml:space="preserve">https://hlhrapid.com/knowledge/injection-moulding-vdi-surface-finish/
https://www.xometry.com/resources/injection-molding/choosing-the-right-finish-for-your-injection-molded/</t>
  </si>
  <si>
    <t xml:space="preserve">S28</t>
  </si>
  <si>
    <r>
      <rPr>
        <sz val="10"/>
        <color rgb="FF000000"/>
        <rFont val="微软雅黑"/>
        <family val="0"/>
        <charset val="1"/>
      </rPr>
      <t xml:space="preserve">SPI </t>
    </r>
    <r>
      <rPr>
        <sz val="10"/>
        <color rgb="FF000000"/>
        <rFont val="微软雅黑"/>
        <family val="2"/>
      </rPr>
      <t xml:space="preserve">抛光等级与 </t>
    </r>
    <r>
      <rPr>
        <sz val="10"/>
        <color rgb="FF000000"/>
        <rFont val="微软雅黑"/>
        <family val="0"/>
        <charset val="1"/>
      </rPr>
      <t xml:space="preserve">Ra </t>
    </r>
    <r>
      <rPr>
        <sz val="10"/>
        <color rgb="FF000000"/>
        <rFont val="微软雅黑"/>
        <family val="2"/>
      </rPr>
      <t xml:space="preserve">对照</t>
    </r>
  </si>
  <si>
    <r>
      <rPr>
        <sz val="10"/>
        <color rgb="FF000000"/>
        <rFont val="微软雅黑"/>
        <family val="2"/>
      </rPr>
      <t xml:space="preserve">工艺参考 </t>
    </r>
    <r>
      <rPr>
        <sz val="10"/>
        <color rgb="FF000000"/>
        <rFont val="微软雅黑"/>
        <family val="0"/>
        <charset val="1"/>
      </rPr>
      <t xml:space="preserve">B</t>
    </r>
  </si>
  <si>
    <t xml:space="preserve">https://hubs.com/knowledge-base/injection-molding-spi-surface-finishes
https://texasinjectionmolding.com/?p=243</t>
  </si>
  <si>
    <t xml:space="preserve">S29</t>
  </si>
  <si>
    <t xml:space="preserve">纹理与拔模角经验值</t>
  </si>
  <si>
    <r>
      <rPr>
        <sz val="10"/>
        <color rgb="FF000000"/>
        <rFont val="微软雅黑"/>
        <family val="2"/>
      </rPr>
      <t xml:space="preserve">工艺参考 </t>
    </r>
    <r>
      <rPr>
        <sz val="10"/>
        <color rgb="FF000000"/>
        <rFont val="微软雅黑"/>
        <family val="0"/>
        <charset val="1"/>
      </rPr>
      <t xml:space="preserve">C</t>
    </r>
  </si>
  <si>
    <t xml:space="preserve">https://www.boulderes.com/resource-library/the-subtleties-of-draft-angles-and-injection-molding
https://www.efunda.com/designstandards/plastic_design/draft.cfm
https://www.teamrapidtooling.com/draft-angle-injection-molding-guide-a-684.html</t>
  </si>
  <si>
    <t xml:space="preserve">S30</t>
  </si>
  <si>
    <r>
      <rPr>
        <sz val="10"/>
        <color rgb="FF000000"/>
        <rFont val="微软雅黑"/>
        <family val="2"/>
      </rPr>
      <t xml:space="preserve">铝合金牌号与阳极外观：</t>
    </r>
    <r>
      <rPr>
        <sz val="10"/>
        <color rgb="FF000000"/>
        <rFont val="微软雅黑"/>
        <family val="0"/>
        <charset val="1"/>
      </rPr>
      <t xml:space="preserve">5052 </t>
    </r>
    <r>
      <rPr>
        <sz val="10"/>
        <color rgb="FF000000"/>
        <rFont val="微软雅黑"/>
        <family val="2"/>
      </rPr>
      <t xml:space="preserve">偏黄、</t>
    </r>
    <r>
      <rPr>
        <sz val="10"/>
        <color rgb="FF000000"/>
        <rFont val="微软雅黑"/>
        <family val="0"/>
        <charset val="1"/>
      </rPr>
      <t xml:space="preserve">6061 </t>
    </r>
    <r>
      <rPr>
        <sz val="10"/>
        <color rgb="FF000000"/>
        <rFont val="微软雅黑"/>
        <family val="2"/>
      </rPr>
      <t xml:space="preserve">偏深、</t>
    </r>
    <r>
      <rPr>
        <sz val="10"/>
        <color rgb="FF000000"/>
        <rFont val="微软雅黑"/>
        <family val="0"/>
        <charset val="1"/>
      </rPr>
      <t xml:space="preserve">6063 </t>
    </r>
    <r>
      <rPr>
        <sz val="10"/>
        <color rgb="FF000000"/>
        <rFont val="微软雅黑"/>
        <family val="2"/>
      </rPr>
      <t xml:space="preserve">均匀</t>
    </r>
  </si>
  <si>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清单、工艺参考 </t>
    </r>
    <r>
      <rPr>
        <sz val="10"/>
        <color rgb="FF000000"/>
        <rFont val="微软雅黑"/>
        <family val="0"/>
        <charset val="1"/>
      </rPr>
      <t xml:space="preserve">D</t>
    </r>
  </si>
  <si>
    <t xml:space="preserve">https://anodizing.org/wp-content/uploads/2024/09/specifying-anodized-finishes.pdf
https://finishing.com/430/76.shtml</t>
  </si>
  <si>
    <t xml:space="preserve">S31</t>
  </si>
  <si>
    <t xml:space="preserve">阳极色差成因：窗框效应、遮挡、染槽老化</t>
  </si>
  <si>
    <r>
      <rPr>
        <sz val="10"/>
        <color rgb="FF000000"/>
        <rFont val="微软雅黑"/>
        <family val="0"/>
        <charset val="1"/>
      </rPr>
      <t xml:space="preserve">T10</t>
    </r>
    <r>
      <rPr>
        <sz val="10"/>
        <color rgb="FF000000"/>
        <rFont val="微软雅黑"/>
        <family val="2"/>
      </rPr>
      <t xml:space="preserve">、工艺参考 </t>
    </r>
    <r>
      <rPr>
        <sz val="10"/>
        <color rgb="FF000000"/>
        <rFont val="微软雅黑"/>
        <family val="0"/>
        <charset val="1"/>
      </rPr>
      <t xml:space="preserve">E</t>
    </r>
  </si>
  <si>
    <t xml:space="preserve">https://www.constructionspecifier.com/anodized-finishes-avoiding-color-variation/</t>
  </si>
  <si>
    <t xml:space="preserve">S32</t>
  </si>
  <si>
    <t xml:space="preserve">佛山南海大沥铝型材产业集群</t>
  </si>
  <si>
    <r>
      <rPr>
        <sz val="10"/>
        <color rgb="FF000000"/>
        <rFont val="微软雅黑"/>
        <family val="2"/>
      </rPr>
      <t xml:space="preserve">工艺参考 </t>
    </r>
    <r>
      <rPr>
        <sz val="10"/>
        <color rgb="FF000000"/>
        <rFont val="微软雅黑"/>
        <family val="0"/>
        <charset val="1"/>
      </rPr>
      <t xml:space="preserve">G</t>
    </r>
  </si>
  <si>
    <t xml:space="preserve">https://www.qianzhan.com/cluster/detail/178/131219-ca4c4af8.html
https://www.qianzhan.com/cluster/detail/178/130922-fe194549.html</t>
  </si>
  <si>
    <r>
      <rPr>
        <sz val="10"/>
        <color rgb="FF000000"/>
        <rFont val="微软雅黑"/>
        <family val="0"/>
        <charset val="1"/>
      </rPr>
      <t xml:space="preserve">SABIC CYCOLOY C1200HF </t>
    </r>
    <r>
      <rPr>
        <sz val="10"/>
        <color rgb="FF000000"/>
        <rFont val="微软雅黑"/>
        <family val="2"/>
      </rPr>
      <t xml:space="preserve">数据</t>
    </r>
  </si>
  <si>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清单、工艺参考 </t>
    </r>
    <r>
      <rPr>
        <sz val="10"/>
        <color rgb="FF000000"/>
        <rFont val="微软雅黑"/>
        <family val="0"/>
        <charset val="1"/>
      </rPr>
      <t xml:space="preserve">H</t>
    </r>
  </si>
  <si>
    <t xml:space="preserve">https://protolabs.com/media/socff1cn/cycoloy-c1200hf.pdf
https://ultrapolymers.com/en-NL/products/513-cycoloy-c1200hf</t>
  </si>
  <si>
    <r>
      <rPr>
        <sz val="10"/>
        <color rgb="FF000000"/>
        <rFont val="微软雅黑"/>
        <family val="2"/>
      </rPr>
      <t xml:space="preserve">科思创 </t>
    </r>
    <r>
      <rPr>
        <sz val="10"/>
        <color rgb="FF000000"/>
        <rFont val="微软雅黑"/>
        <family val="0"/>
        <charset val="1"/>
      </rPr>
      <t xml:space="preserve">Bayblend T85 XF </t>
    </r>
    <r>
      <rPr>
        <sz val="10"/>
        <color rgb="FF000000"/>
        <rFont val="微软雅黑"/>
        <family val="2"/>
      </rPr>
      <t xml:space="preserve">数据</t>
    </r>
  </si>
  <si>
    <t xml:space="preserve">https://solutions.covestro.com/th/products/bayblend/bayblend-t85-xf_000000000000942879</t>
  </si>
  <si>
    <r>
      <rPr>
        <sz val="10"/>
        <color rgb="FF000000"/>
        <rFont val="微软雅黑"/>
        <family val="2"/>
      </rPr>
      <t xml:space="preserve">科思创 </t>
    </r>
    <r>
      <rPr>
        <sz val="10"/>
        <color rgb="FF000000"/>
        <rFont val="微软雅黑"/>
        <family val="0"/>
        <charset val="1"/>
      </rPr>
      <t xml:space="preserve">Makrolon DQ </t>
    </r>
    <r>
      <rPr>
        <sz val="10"/>
        <color rgb="FF000000"/>
        <rFont val="微软雅黑"/>
        <family val="2"/>
      </rPr>
      <t xml:space="preserve">扩散级 </t>
    </r>
    <r>
      <rPr>
        <sz val="10"/>
        <color rgb="FF000000"/>
        <rFont val="微软雅黑"/>
        <family val="0"/>
        <charset val="1"/>
      </rPr>
      <t xml:space="preserve">PC</t>
    </r>
  </si>
  <si>
    <t xml:space="preserve">https://omnexus.specialchem.com/news/product-news/covestro-polycarbonate-diffuser-grades-000219375</t>
  </si>
  <si>
    <r>
      <rPr>
        <sz val="10"/>
        <color rgb="FF000000"/>
        <rFont val="微软雅黑"/>
        <family val="0"/>
        <charset val="1"/>
      </rPr>
      <t xml:space="preserve">ANSI C78.377 </t>
    </r>
    <r>
      <rPr>
        <sz val="10"/>
        <color rgb="FF000000"/>
        <rFont val="微软雅黑"/>
        <family val="2"/>
      </rPr>
      <t xml:space="preserve">标称色温档；暖白分档示例</t>
    </r>
  </si>
  <si>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清单、工艺参考 </t>
    </r>
    <r>
      <rPr>
        <sz val="10"/>
        <color rgb="FF000000"/>
        <rFont val="微软雅黑"/>
        <family val="0"/>
        <charset val="1"/>
      </rPr>
      <t xml:space="preserve">F</t>
    </r>
  </si>
  <si>
    <t xml:space="preserve">https://www.lightnowblog.com/2025/01/2-new-ccts-published-in-ansi-c78-377-2024
https://www.ledinside.com/node/view/9068</t>
  </si>
  <si>
    <t xml:space="preserve">S37</t>
  </si>
  <si>
    <r>
      <rPr>
        <sz val="10"/>
        <color rgb="FF000000"/>
        <rFont val="微软雅黑"/>
        <family val="0"/>
        <charset val="1"/>
      </rPr>
      <t xml:space="preserve">CMF </t>
    </r>
    <r>
      <rPr>
        <sz val="10"/>
        <color rgb="FF000000"/>
        <rFont val="微软雅黑"/>
        <family val="2"/>
      </rPr>
      <t xml:space="preserve">要写进图纸和 </t>
    </r>
    <r>
      <rPr>
        <sz val="10"/>
        <color rgb="FF000000"/>
        <rFont val="微软雅黑"/>
        <family val="0"/>
        <charset val="1"/>
      </rPr>
      <t xml:space="preserve">BOM</t>
    </r>
    <r>
      <rPr>
        <sz val="10"/>
        <color rgb="FF000000"/>
        <rFont val="微软雅黑"/>
        <family val="2"/>
      </rPr>
      <t xml:space="preserve">，颜色用同材质实物样确认</t>
    </r>
  </si>
  <si>
    <t xml:space="preserve">使用说明</t>
  </si>
  <si>
    <t xml:space="preserve">https://www.fictiv.com/?p=1085
https://boards.core77.com/t/cmf/29450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</si>
</sst>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&quot; 个&quot;"/>
    <numFmt numFmtId="166" formatCode="0&quot; 行&quot;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微软雅黑"/>
      <family val="2"/>
    </font>
    <font>
      <b val="true"/>
      <sz val="20"/>
      <color rgb="FF1F3A5F"/>
      <name val="微软雅黑"/>
      <family val="0"/>
      <charset val="1"/>
    </font>
    <font>
      <sz val="10"/>
      <color rgb="FF595959"/>
      <name val="微软雅黑"/>
      <family val="2"/>
    </font>
    <font>
      <sz val="10"/>
      <color rgb="FF595959"/>
      <name val="微软雅黑"/>
      <family val="0"/>
      <charset val="1"/>
    </font>
    <font>
      <b val="true"/>
      <sz val="12"/>
      <color rgb="FF1F3A5F"/>
      <name val="微软雅黑"/>
      <family val="2"/>
    </font>
    <font>
      <b val="true"/>
      <sz val="10"/>
      <color rgb="FF000000"/>
      <name val="微软雅黑"/>
      <family val="0"/>
      <charset val="1"/>
    </font>
    <font>
      <sz val="10"/>
      <color rgb="FF000000"/>
      <name val="微软雅黑"/>
      <family val="0"/>
      <charset val="1"/>
    </font>
    <font>
      <sz val="10"/>
      <color rgb="FF000000"/>
      <name val="微软雅黑"/>
      <family val="2"/>
    </font>
    <font>
      <b val="true"/>
      <sz val="12"/>
      <color rgb="FF1F3A5F"/>
      <name val="微软雅黑"/>
      <family val="0"/>
      <charset val="1"/>
    </font>
    <font>
      <b val="true"/>
      <sz val="10"/>
      <color rgb="FF000000"/>
      <name val="微软雅黑"/>
      <family val="2"/>
    </font>
    <font>
      <b val="true"/>
      <sz val="10"/>
      <color rgb="FF1F4E9A"/>
      <name val="微软雅黑"/>
      <family val="2"/>
    </font>
    <font>
      <b val="true"/>
      <sz val="10"/>
      <color rgb="FF595959"/>
      <name val="微软雅黑"/>
      <family val="2"/>
    </font>
    <font>
      <b val="true"/>
      <sz val="16"/>
      <color rgb="FF1F3A5F"/>
      <name val="微软雅黑"/>
      <family val="2"/>
    </font>
    <font>
      <b val="true"/>
      <sz val="16"/>
      <color rgb="FF1F3A5F"/>
      <name val="微软雅黑"/>
      <family val="0"/>
      <charset val="1"/>
    </font>
    <font>
      <b val="true"/>
      <sz val="11"/>
      <color rgb="FF1F3A5F"/>
      <name val="微软雅黑"/>
      <family val="2"/>
    </font>
    <font>
      <sz val="10"/>
      <color rgb="FF1F4E9A"/>
      <name val="微软雅黑"/>
      <family val="0"/>
      <charset val="1"/>
    </font>
    <font>
      <b val="true"/>
      <sz val="10"/>
      <color rgb="FFFFFFFF"/>
      <name val="微软雅黑"/>
      <family val="2"/>
    </font>
    <font>
      <b val="true"/>
      <sz val="10"/>
      <color rgb="FFFFFFFF"/>
      <name val="微软雅黑"/>
      <family val="0"/>
      <charset val="1"/>
    </font>
    <font>
      <sz val="10"/>
      <color rgb="FF1F4E9A"/>
      <name val="微软雅黑"/>
      <family val="2"/>
    </font>
    <font>
      <sz val="9"/>
      <color rgb="FF595959"/>
      <name val="微软雅黑"/>
      <family val="0"/>
      <charset val="1"/>
    </font>
    <font>
      <sz val="9"/>
      <color rgb="FF595959"/>
      <name val="微软雅黑"/>
      <family val="2"/>
    </font>
    <font>
      <b val="true"/>
      <sz val="11"/>
      <color rgb="FF1F3A5F"/>
      <name val="微软雅黑"/>
      <family val="0"/>
      <charset val="1"/>
    </font>
    <font>
      <sz val="9"/>
      <color rgb="FF1F4E9A"/>
      <name val="微软雅黑"/>
      <family val="2"/>
    </font>
    <font>
      <sz val="9"/>
      <color rgb="FF1F4E9A"/>
      <name val="微软雅黑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1F3A5F"/>
        <bgColor rgb="FF333333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6"/>
  </cols>
  <sheetData>
    <row r="1" customFormat="false" ht="37.5" hidden="false" customHeight="true" outlineLevel="0" collapsed="false">
      <c r="B1" s="1" t="s">
        <v>0</v>
      </c>
      <c r="C1" s="1"/>
    </row>
    <row r="2" customFormat="false" ht="15" hidden="false" customHeight="false" outlineLevel="0" collapsed="false">
      <c r="B2" s="2" t="s">
        <v>1</v>
      </c>
      <c r="C2" s="2"/>
    </row>
    <row r="4" customFormat="false" ht="24" hidden="false" customHeight="true" outlineLevel="0" collapsed="false">
      <c r="B4" s="3" t="s">
        <v>2</v>
      </c>
      <c r="C4" s="3"/>
    </row>
    <row r="5" customFormat="false" ht="34.5" hidden="false" customHeight="true" outlineLevel="0" collapsed="false">
      <c r="B5" s="4" t="s">
        <v>3</v>
      </c>
      <c r="C5" s="5" t="s">
        <v>4</v>
      </c>
    </row>
    <row r="7" customFormat="false" ht="24" hidden="false" customHeight="true" outlineLevel="0" collapsed="false">
      <c r="B7" s="3" t="s">
        <v>5</v>
      </c>
      <c r="C7" s="3"/>
    </row>
    <row r="8" customFormat="false" ht="20.25" hidden="false" customHeight="true" outlineLevel="0" collapsed="false">
      <c r="B8" s="6" t="s">
        <v>6</v>
      </c>
      <c r="C8" s="7" t="s">
        <v>7</v>
      </c>
    </row>
    <row r="9" customFormat="false" ht="34.5" hidden="false" customHeight="true" outlineLevel="0" collapsed="false">
      <c r="B9" s="6" t="s">
        <v>8</v>
      </c>
      <c r="C9" s="7" t="s">
        <v>9</v>
      </c>
    </row>
    <row r="10" customFormat="false" ht="20.25" hidden="false" customHeight="true" outlineLevel="0" collapsed="false">
      <c r="B10" s="6" t="s">
        <v>10</v>
      </c>
      <c r="C10" s="7" t="s">
        <v>11</v>
      </c>
    </row>
    <row r="11" customFormat="false" ht="20.25" hidden="false" customHeight="true" outlineLevel="0" collapsed="false">
      <c r="B11" s="6" t="s">
        <v>12</v>
      </c>
      <c r="C11" s="7" t="s">
        <v>13</v>
      </c>
    </row>
    <row r="12" customFormat="false" ht="20.25" hidden="false" customHeight="true" outlineLevel="0" collapsed="false">
      <c r="B12" s="6" t="s">
        <v>14</v>
      </c>
      <c r="C12" s="7" t="s">
        <v>15</v>
      </c>
    </row>
    <row r="14" customFormat="false" ht="24" hidden="false" customHeight="true" outlineLevel="0" collapsed="false">
      <c r="B14" s="3" t="s">
        <v>16</v>
      </c>
      <c r="C14" s="3"/>
    </row>
    <row r="15" customFormat="false" ht="20.25" hidden="false" customHeight="true" outlineLevel="0" collapsed="false">
      <c r="B15" s="8" t="s">
        <v>17</v>
      </c>
      <c r="C15" s="7" t="s">
        <v>18</v>
      </c>
    </row>
    <row r="16" customFormat="false" ht="20.25" hidden="false" customHeight="true" outlineLevel="0" collapsed="false">
      <c r="B16" s="9" t="s">
        <v>19</v>
      </c>
      <c r="C16" s="7" t="s">
        <v>20</v>
      </c>
    </row>
    <row r="17" customFormat="false" ht="20.25" hidden="false" customHeight="true" outlineLevel="0" collapsed="false">
      <c r="B17" s="10" t="s">
        <v>21</v>
      </c>
      <c r="C17" s="7" t="s">
        <v>22</v>
      </c>
    </row>
    <row r="18" customFormat="false" ht="20.25" hidden="false" customHeight="true" outlineLevel="0" collapsed="false">
      <c r="B18" s="11" t="s">
        <v>23</v>
      </c>
      <c r="C18" s="7" t="s">
        <v>24</v>
      </c>
    </row>
    <row r="20" customFormat="false" ht="24" hidden="false" customHeight="true" outlineLevel="0" collapsed="false">
      <c r="B20" s="3" t="s">
        <v>25</v>
      </c>
      <c r="C20" s="3"/>
    </row>
    <row r="21" customFormat="false" ht="21.75" hidden="false" customHeight="true" outlineLevel="0" collapsed="false">
      <c r="B21" s="12" t="s">
        <v>26</v>
      </c>
      <c r="C21" s="13" t="n">
        <f aca="false">SUMPRODUCT(--ISNUMBER(SEARCH("【待填】",CMF清单!A4:Z40)))+SUMPRODUCT(--ISNUMBER(SEARCH("【待填】",测试要求!A5:H30)))</f>
        <v>35</v>
      </c>
    </row>
    <row r="22" customFormat="false" ht="21.75" hidden="false" customHeight="true" outlineLevel="0" collapsed="false">
      <c r="B22" s="12" t="s">
        <v>27</v>
      </c>
      <c r="C22" s="13" t="n">
        <f aca="false">SUMPRODUCT(--ISNUMBER(SEARCH("【待确认】",CMF清单!A4:Z40)))+SUMPRODUCT(--ISNUMBER(SEARCH("【待确认】",测试要求!A5:H30)))</f>
        <v>5</v>
      </c>
    </row>
    <row r="23" customFormat="false" ht="21.75" hidden="false" customHeight="true" outlineLevel="0" collapsed="false">
      <c r="B23" s="12" t="s">
        <v>28</v>
      </c>
      <c r="C23" s="13" t="n">
        <f aca="false">SUMPRODUCT(--ISNUMBER(SEARCH("【双方约定】",测试要求!A5:H30)))</f>
        <v>12</v>
      </c>
    </row>
    <row r="24" customFormat="false" ht="21.75" hidden="false" customHeight="true" outlineLevel="0" collapsed="false">
      <c r="B24" s="12" t="s">
        <v>29</v>
      </c>
      <c r="C24" s="14" t="n">
        <f aca="false">COUNTIF(CMF清单!D11:D25,"还有待填项")+COUNTIF(CMF清单!D11:D25,"有空格未填")</f>
        <v>5</v>
      </c>
    </row>
    <row r="25" customFormat="false" ht="34.5" hidden="false" customHeight="true" outlineLevel="0" collapsed="false">
      <c r="B25" s="5"/>
      <c r="C25" s="7" t="s">
        <v>30</v>
      </c>
    </row>
    <row r="27" customFormat="false" ht="24" hidden="false" customHeight="true" outlineLevel="0" collapsed="false">
      <c r="B27" s="3" t="s">
        <v>31</v>
      </c>
      <c r="C27" s="3"/>
    </row>
    <row r="28" customFormat="false" ht="49.5" hidden="false" customHeight="true" outlineLevel="0" collapsed="false">
      <c r="B28" s="6" t="s">
        <v>32</v>
      </c>
      <c r="C28" s="7" t="s">
        <v>33</v>
      </c>
    </row>
    <row r="30" customFormat="false" ht="24" hidden="false" customHeight="true" outlineLevel="0" collapsed="false">
      <c r="B30" s="3" t="s">
        <v>34</v>
      </c>
      <c r="C30" s="3"/>
    </row>
    <row r="31" customFormat="false" ht="20.25" hidden="false" customHeight="true" outlineLevel="0" collapsed="false">
      <c r="B31" s="6" t="s">
        <v>35</v>
      </c>
      <c r="C31" s="7" t="s">
        <v>36</v>
      </c>
    </row>
    <row r="32" customFormat="false" ht="20.25" hidden="false" customHeight="true" outlineLevel="0" collapsed="false">
      <c r="B32" s="6" t="s">
        <v>37</v>
      </c>
      <c r="C32" s="7" t="s">
        <v>38</v>
      </c>
    </row>
    <row r="33" customFormat="false" ht="34.5" hidden="false" customHeight="true" outlineLevel="0" collapsed="false">
      <c r="B33" s="6" t="s">
        <v>39</v>
      </c>
      <c r="C33" s="7" t="s">
        <v>40</v>
      </c>
    </row>
    <row r="34" customFormat="false" ht="20.25" hidden="false" customHeight="true" outlineLevel="0" collapsed="false">
      <c r="B34" s="6" t="s">
        <v>41</v>
      </c>
      <c r="C34" s="7" t="s">
        <v>42</v>
      </c>
    </row>
    <row r="36" customFormat="false" ht="24" hidden="false" customHeight="true" outlineLevel="0" collapsed="false">
      <c r="B36" s="3" t="s">
        <v>43</v>
      </c>
      <c r="C36" s="3"/>
    </row>
    <row r="37" customFormat="false" ht="20.25" hidden="false" customHeight="true" outlineLevel="0" collapsed="false">
      <c r="B37" s="4" t="s">
        <v>44</v>
      </c>
      <c r="C37" s="7" t="s">
        <v>45</v>
      </c>
    </row>
    <row r="38" customFormat="false" ht="20.25" hidden="false" customHeight="true" outlineLevel="0" collapsed="false">
      <c r="B38" s="6" t="s">
        <v>46</v>
      </c>
      <c r="C38" s="5" t="s">
        <v>47</v>
      </c>
    </row>
    <row r="39" customFormat="false" ht="20.25" hidden="false" customHeight="true" outlineLevel="0" collapsed="false">
      <c r="B39" s="6" t="s">
        <v>48</v>
      </c>
      <c r="C39" s="7" t="s">
        <v>49</v>
      </c>
    </row>
    <row r="40" customFormat="false" ht="20.25" hidden="false" customHeight="true" outlineLevel="0" collapsed="false">
      <c r="B40" s="6" t="s">
        <v>50</v>
      </c>
      <c r="C40" s="5" t="s">
        <v>51</v>
      </c>
    </row>
    <row r="41" customFormat="false" ht="20.25" hidden="false" customHeight="true" outlineLevel="0" collapsed="false">
      <c r="B41" s="6" t="s">
        <v>52</v>
      </c>
      <c r="C41" s="7" t="s">
        <v>53</v>
      </c>
    </row>
    <row r="42" customFormat="false" ht="20.25" hidden="false" customHeight="true" outlineLevel="0" collapsed="false">
      <c r="B42" s="6" t="s">
        <v>54</v>
      </c>
      <c r="C42" s="5" t="s">
        <v>55</v>
      </c>
    </row>
  </sheetData>
  <mergeCells count="9">
    <mergeCell ref="B1:C1"/>
    <mergeCell ref="B2:C2"/>
    <mergeCell ref="B4:C4"/>
    <mergeCell ref="B7:C7"/>
    <mergeCell ref="B14:C14"/>
    <mergeCell ref="B20:C20"/>
    <mergeCell ref="B27:C27"/>
    <mergeCell ref="B30:C30"/>
    <mergeCell ref="B36:C3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2" min="11" style="0" width="24"/>
    <col collapsed="false" customWidth="true" hidden="false" outlineLevel="0" max="13" min="13" style="0" width="10"/>
    <col collapsed="false" customWidth="true" hidden="false" outlineLevel="0" max="14" min="14" style="0" width="20"/>
    <col collapsed="false" customWidth="true" hidden="false" outlineLevel="0" max="15" min="15" style="0" width="28"/>
    <col collapsed="false" customWidth="true" hidden="false" outlineLevel="0" max="16" min="16" style="0" width="26"/>
    <col collapsed="false" customWidth="true" hidden="false" outlineLevel="0" max="17" min="17" style="0" width="22"/>
    <col collapsed="false" customWidth="true" hidden="false" outlineLevel="0" max="18" min="18" style="0" width="24"/>
    <col collapsed="false" customWidth="true" hidden="false" outlineLevel="0" max="19" min="19" style="0" width="18"/>
    <col collapsed="false" customWidth="true" hidden="false" outlineLevel="0" max="20" min="20" style="0" width="22"/>
    <col collapsed="false" customWidth="true" hidden="false" outlineLevel="0" max="21" min="21" style="0" width="20"/>
    <col collapsed="false" customWidth="true" hidden="false" outlineLevel="0" max="22" min="22" style="0" width="11"/>
    <col collapsed="false" customWidth="true" hidden="false" outlineLevel="0" max="23" min="23" style="0" width="32"/>
    <col collapsed="false" customWidth="true" hidden="false" outlineLevel="0" max="24" min="24" style="0" width="13"/>
    <col collapsed="false" customWidth="true" hidden="false" outlineLevel="0" max="25" min="25" style="0" width="24"/>
    <col collapsed="false" customWidth="true" hidden="false" outlineLevel="0" max="26" min="26" style="0" width="18"/>
  </cols>
  <sheetData>
    <row r="1" customFormat="false" ht="30" hidden="false" customHeight="true" outlineLevel="0" collapsed="false">
      <c r="A1" s="15" t="s">
        <v>56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customFormat="false" ht="21.75" hidden="false" customHeight="true" outlineLevel="0" collapsed="false">
      <c r="A2" s="16" t="s">
        <v>57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customFormat="false" ht="15" hidden="false" customHeight="false" outlineLevel="0" collapsed="false">
      <c r="A3" s="17" t="s">
        <v>58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customFormat="false" ht="21.75" hidden="false" customHeight="true" outlineLevel="0" collapsed="false">
      <c r="B4" s="18" t="s">
        <v>59</v>
      </c>
      <c r="C4" s="18"/>
      <c r="D4" s="19" t="s">
        <v>60</v>
      </c>
      <c r="E4" s="19"/>
      <c r="F4" s="19"/>
      <c r="G4" s="19"/>
      <c r="H4" s="19"/>
      <c r="I4" s="18" t="s">
        <v>61</v>
      </c>
      <c r="J4" s="18"/>
      <c r="K4" s="19" t="s">
        <v>60</v>
      </c>
      <c r="L4" s="19"/>
      <c r="M4" s="19"/>
      <c r="N4" s="19"/>
      <c r="O4" s="20" t="s">
        <v>62</v>
      </c>
      <c r="P4" s="21" t="s">
        <v>63</v>
      </c>
      <c r="Q4" s="21"/>
      <c r="R4" s="21"/>
      <c r="S4" s="21"/>
    </row>
    <row r="5" customFormat="false" ht="21.75" hidden="false" customHeight="true" outlineLevel="0" collapsed="false">
      <c r="B5" s="18" t="s">
        <v>64</v>
      </c>
      <c r="C5" s="18"/>
      <c r="D5" s="19" t="s">
        <v>60</v>
      </c>
      <c r="E5" s="19"/>
      <c r="F5" s="19"/>
      <c r="G5" s="19"/>
      <c r="H5" s="19"/>
      <c r="I5" s="18" t="s">
        <v>65</v>
      </c>
      <c r="J5" s="18"/>
      <c r="K5" s="19" t="s">
        <v>60</v>
      </c>
      <c r="L5" s="19"/>
      <c r="M5" s="19"/>
      <c r="N5" s="19"/>
      <c r="O5" s="20" t="s">
        <v>66</v>
      </c>
      <c r="P5" s="21" t="s">
        <v>67</v>
      </c>
      <c r="Q5" s="21"/>
      <c r="R5" s="21"/>
      <c r="S5" s="21"/>
    </row>
    <row r="6" customFormat="false" ht="21.75" hidden="false" customHeight="true" outlineLevel="0" collapsed="false">
      <c r="B6" s="18" t="s">
        <v>68</v>
      </c>
      <c r="C6" s="18"/>
      <c r="D6" s="19" t="s">
        <v>60</v>
      </c>
      <c r="E6" s="19"/>
      <c r="F6" s="19"/>
      <c r="G6" s="19"/>
      <c r="H6" s="19"/>
      <c r="I6" s="18" t="s">
        <v>69</v>
      </c>
      <c r="J6" s="18"/>
      <c r="K6" s="19" t="s">
        <v>60</v>
      </c>
      <c r="L6" s="19"/>
      <c r="M6" s="19"/>
      <c r="N6" s="19"/>
      <c r="O6" s="20" t="s">
        <v>70</v>
      </c>
      <c r="P6" s="19" t="s">
        <v>60</v>
      </c>
      <c r="Q6" s="19"/>
      <c r="R6" s="19"/>
      <c r="S6" s="19"/>
    </row>
    <row r="7" customFormat="false" ht="21.75" hidden="false" customHeight="true" outlineLevel="0" collapsed="false">
      <c r="B7" s="22" t="s">
        <v>71</v>
      </c>
      <c r="C7" s="22"/>
      <c r="D7" s="19" t="s">
        <v>60</v>
      </c>
      <c r="E7" s="19"/>
      <c r="F7" s="19"/>
      <c r="G7" s="19"/>
      <c r="H7" s="19"/>
      <c r="I7" s="22" t="s">
        <v>72</v>
      </c>
      <c r="J7" s="22"/>
      <c r="K7" s="19" t="s">
        <v>60</v>
      </c>
      <c r="L7" s="19"/>
      <c r="M7" s="19"/>
      <c r="N7" s="19"/>
      <c r="O7" s="20" t="s">
        <v>73</v>
      </c>
      <c r="P7" s="19" t="s">
        <v>60</v>
      </c>
      <c r="Q7" s="19"/>
      <c r="R7" s="19"/>
      <c r="S7" s="19"/>
    </row>
    <row r="8" customFormat="false" ht="30" hidden="false" customHeight="true" outlineLevel="0" collapsed="false">
      <c r="B8" s="18" t="s">
        <v>74</v>
      </c>
      <c r="C8" s="18"/>
      <c r="D8" s="19" t="s">
        <v>75</v>
      </c>
      <c r="E8" s="19"/>
      <c r="F8" s="19"/>
      <c r="G8" s="19"/>
      <c r="H8" s="19"/>
      <c r="I8" s="18" t="s">
        <v>76</v>
      </c>
      <c r="J8" s="18"/>
      <c r="K8" s="19" t="s">
        <v>77</v>
      </c>
      <c r="L8" s="19"/>
      <c r="M8" s="19"/>
      <c r="N8" s="19"/>
      <c r="O8" s="20" t="s">
        <v>78</v>
      </c>
      <c r="P8" s="23" t="s">
        <v>79</v>
      </c>
      <c r="Q8" s="23"/>
      <c r="R8" s="23"/>
      <c r="S8" s="23"/>
    </row>
    <row r="10" customFormat="false" ht="43.5" hidden="false" customHeight="true" outlineLevel="0" collapsed="false">
      <c r="A10" s="24" t="s">
        <v>80</v>
      </c>
      <c r="B10" s="24" t="s">
        <v>81</v>
      </c>
      <c r="C10" s="24" t="s">
        <v>82</v>
      </c>
      <c r="D10" s="24" t="s">
        <v>83</v>
      </c>
      <c r="E10" s="24" t="s">
        <v>84</v>
      </c>
      <c r="F10" s="24" t="s">
        <v>85</v>
      </c>
      <c r="G10" s="24" t="s">
        <v>86</v>
      </c>
      <c r="H10" s="24" t="s">
        <v>87</v>
      </c>
      <c r="I10" s="24" t="s">
        <v>88</v>
      </c>
      <c r="J10" s="24" t="s">
        <v>89</v>
      </c>
      <c r="K10" s="24" t="s">
        <v>90</v>
      </c>
      <c r="L10" s="24" t="s">
        <v>91</v>
      </c>
      <c r="M10" s="24" t="s">
        <v>92</v>
      </c>
      <c r="N10" s="24" t="s">
        <v>93</v>
      </c>
      <c r="O10" s="24" t="s">
        <v>94</v>
      </c>
      <c r="P10" s="24" t="s">
        <v>95</v>
      </c>
      <c r="Q10" s="24" t="s">
        <v>96</v>
      </c>
      <c r="R10" s="24" t="s">
        <v>97</v>
      </c>
      <c r="S10" s="24" t="s">
        <v>98</v>
      </c>
      <c r="T10" s="24" t="s">
        <v>99</v>
      </c>
      <c r="U10" s="24" t="s">
        <v>100</v>
      </c>
      <c r="V10" s="24" t="s">
        <v>101</v>
      </c>
      <c r="W10" s="24" t="s">
        <v>102</v>
      </c>
      <c r="X10" s="24" t="s">
        <v>103</v>
      </c>
      <c r="Y10" s="25" t="s">
        <v>104</v>
      </c>
      <c r="Z10" s="25" t="s">
        <v>105</v>
      </c>
    </row>
    <row r="11" customFormat="false" ht="90.75" hidden="false" customHeight="true" outlineLevel="0" collapsed="false">
      <c r="A11" s="26" t="n">
        <v>1</v>
      </c>
      <c r="B11" s="27" t="s">
        <v>60</v>
      </c>
      <c r="C11" s="28" t="s">
        <v>106</v>
      </c>
      <c r="D11" s="29" t="str">
        <f aca="false">IF(C11="","",IF(COUNTBLANK(B11)+COUNTBLANK(E11:U11)&gt;0,"有空格未填",IF(SUMPRODUCT(--ISNUMBER(SEARCH("【待",B11:C11)))+SUMPRODUCT(--ISNUMBER(SEARCH("【待",E11:W11)))&gt;0,"还有待填项","已填完")))</f>
        <v>还有待填项</v>
      </c>
      <c r="E11" s="27" t="s">
        <v>60</v>
      </c>
      <c r="F11" s="30" t="s">
        <v>107</v>
      </c>
      <c r="G11" s="30" t="s">
        <v>108</v>
      </c>
      <c r="H11" s="28" t="s">
        <v>109</v>
      </c>
      <c r="I11" s="27" t="s">
        <v>110</v>
      </c>
      <c r="J11" s="28" t="s">
        <v>111</v>
      </c>
      <c r="K11" s="28" t="s">
        <v>112</v>
      </c>
      <c r="L11" s="28" t="s">
        <v>113</v>
      </c>
      <c r="M11" s="28" t="s">
        <v>114</v>
      </c>
      <c r="N11" s="31" t="s">
        <v>115</v>
      </c>
      <c r="O11" s="28" t="s">
        <v>116</v>
      </c>
      <c r="P11" s="31" t="s">
        <v>117</v>
      </c>
      <c r="Q11" s="28" t="s">
        <v>118</v>
      </c>
      <c r="R11" s="31" t="s">
        <v>119</v>
      </c>
      <c r="S11" s="27" t="s">
        <v>120</v>
      </c>
      <c r="T11" s="30" t="s">
        <v>121</v>
      </c>
      <c r="U11" s="28" t="s">
        <v>122</v>
      </c>
      <c r="V11" s="27" t="s">
        <v>60</v>
      </c>
      <c r="W11" s="28" t="s">
        <v>123</v>
      </c>
      <c r="X11" s="32" t="s">
        <v>124</v>
      </c>
      <c r="Y11" s="33"/>
      <c r="Z11" s="33"/>
    </row>
    <row r="12" customFormat="false" ht="90.75" hidden="false" customHeight="true" outlineLevel="0" collapsed="false">
      <c r="A12" s="26" t="n">
        <v>2</v>
      </c>
      <c r="B12" s="27" t="s">
        <v>60</v>
      </c>
      <c r="C12" s="28" t="s">
        <v>125</v>
      </c>
      <c r="D12" s="29" t="str">
        <f aca="false">IF(C12="","",IF(COUNTBLANK(B12)+COUNTBLANK(E12:U12)&gt;0,"有空格未填",IF(SUMPRODUCT(--ISNUMBER(SEARCH("【待",B12:C12)))+SUMPRODUCT(--ISNUMBER(SEARCH("【待",E12:W12)))&gt;0,"还有待填项","已填完")))</f>
        <v>还有待填项</v>
      </c>
      <c r="E12" s="27" t="s">
        <v>60</v>
      </c>
      <c r="F12" s="30" t="s">
        <v>107</v>
      </c>
      <c r="G12" s="28" t="s">
        <v>126</v>
      </c>
      <c r="H12" s="30" t="s">
        <v>127</v>
      </c>
      <c r="I12" s="28" t="s">
        <v>128</v>
      </c>
      <c r="J12" s="30" t="s">
        <v>129</v>
      </c>
      <c r="K12" s="28" t="s">
        <v>130</v>
      </c>
      <c r="L12" s="28" t="s">
        <v>131</v>
      </c>
      <c r="M12" s="28" t="s">
        <v>132</v>
      </c>
      <c r="N12" s="31" t="s">
        <v>133</v>
      </c>
      <c r="O12" s="28" t="s">
        <v>134</v>
      </c>
      <c r="P12" s="28" t="s">
        <v>135</v>
      </c>
      <c r="Q12" s="28" t="s">
        <v>136</v>
      </c>
      <c r="R12" s="28" t="s">
        <v>137</v>
      </c>
      <c r="S12" s="28" t="s">
        <v>138</v>
      </c>
      <c r="T12" s="30" t="s">
        <v>139</v>
      </c>
      <c r="U12" s="28" t="s">
        <v>140</v>
      </c>
      <c r="V12" s="27" t="s">
        <v>60</v>
      </c>
      <c r="W12" s="28" t="s">
        <v>141</v>
      </c>
      <c r="X12" s="32" t="s">
        <v>142</v>
      </c>
      <c r="Y12" s="33"/>
      <c r="Z12" s="33"/>
    </row>
    <row r="13" customFormat="false" ht="61.5" hidden="false" customHeight="true" outlineLevel="0" collapsed="false">
      <c r="A13" s="26" t="n">
        <v>3</v>
      </c>
      <c r="B13" s="27" t="s">
        <v>60</v>
      </c>
      <c r="C13" s="28" t="s">
        <v>143</v>
      </c>
      <c r="D13" s="29" t="str">
        <f aca="false">IF(C13="","",IF(COUNTBLANK(B13)+COUNTBLANK(E13:U13)&gt;0,"有空格未填",IF(SUMPRODUCT(--ISNUMBER(SEARCH("【待",B13:C13)))+SUMPRODUCT(--ISNUMBER(SEARCH("【待",E13:W13)))&gt;0,"还有待填项","已填完")))</f>
        <v>还有待填项</v>
      </c>
      <c r="E13" s="27" t="s">
        <v>60</v>
      </c>
      <c r="F13" s="30" t="s">
        <v>107</v>
      </c>
      <c r="G13" s="28" t="s">
        <v>126</v>
      </c>
      <c r="H13" s="28" t="s">
        <v>144</v>
      </c>
      <c r="I13" s="28" t="s">
        <v>128</v>
      </c>
      <c r="J13" s="28" t="s">
        <v>145</v>
      </c>
      <c r="K13" s="28" t="s">
        <v>146</v>
      </c>
      <c r="L13" s="28" t="s">
        <v>131</v>
      </c>
      <c r="M13" s="28" t="s">
        <v>132</v>
      </c>
      <c r="N13" s="28" t="s">
        <v>147</v>
      </c>
      <c r="O13" s="28" t="s">
        <v>148</v>
      </c>
      <c r="P13" s="28" t="s">
        <v>135</v>
      </c>
      <c r="Q13" s="28" t="s">
        <v>149</v>
      </c>
      <c r="R13" s="30" t="s">
        <v>150</v>
      </c>
      <c r="S13" s="28" t="s">
        <v>138</v>
      </c>
      <c r="T13" s="28" t="s">
        <v>151</v>
      </c>
      <c r="U13" s="28" t="s">
        <v>140</v>
      </c>
      <c r="V13" s="27" t="s">
        <v>60</v>
      </c>
      <c r="W13" s="28" t="s">
        <v>152</v>
      </c>
      <c r="X13" s="32" t="s">
        <v>142</v>
      </c>
      <c r="Y13" s="33"/>
      <c r="Z13" s="33"/>
    </row>
    <row r="14" customFormat="false" ht="61.5" hidden="false" customHeight="true" outlineLevel="0" collapsed="false">
      <c r="A14" s="26" t="n">
        <v>4</v>
      </c>
      <c r="B14" s="27" t="s">
        <v>60</v>
      </c>
      <c r="C14" s="28" t="s">
        <v>153</v>
      </c>
      <c r="D14" s="29" t="str">
        <f aca="false">IF(C14="","",IF(COUNTBLANK(B14)+COUNTBLANK(E14:U14)&gt;0,"有空格未填",IF(SUMPRODUCT(--ISNUMBER(SEARCH("【待",B14:C14)))+SUMPRODUCT(--ISNUMBER(SEARCH("【待",E14:W14)))&gt;0,"还有待填项","已填完")))</f>
        <v>还有待填项</v>
      </c>
      <c r="E14" s="27" t="s">
        <v>60</v>
      </c>
      <c r="F14" s="30" t="s">
        <v>107</v>
      </c>
      <c r="G14" s="30" t="s">
        <v>154</v>
      </c>
      <c r="H14" s="28" t="s">
        <v>155</v>
      </c>
      <c r="I14" s="27" t="s">
        <v>156</v>
      </c>
      <c r="J14" s="28" t="s">
        <v>111</v>
      </c>
      <c r="K14" s="28" t="s">
        <v>157</v>
      </c>
      <c r="L14" s="28" t="s">
        <v>158</v>
      </c>
      <c r="M14" s="28" t="s">
        <v>159</v>
      </c>
      <c r="N14" s="31" t="s">
        <v>160</v>
      </c>
      <c r="O14" s="28" t="s">
        <v>161</v>
      </c>
      <c r="P14" s="28" t="s">
        <v>162</v>
      </c>
      <c r="Q14" s="28" t="s">
        <v>163</v>
      </c>
      <c r="R14" s="28" t="s">
        <v>164</v>
      </c>
      <c r="S14" s="28" t="s">
        <v>138</v>
      </c>
      <c r="T14" s="30" t="s">
        <v>165</v>
      </c>
      <c r="U14" s="28" t="s">
        <v>140</v>
      </c>
      <c r="V14" s="27" t="s">
        <v>60</v>
      </c>
      <c r="W14" s="31" t="s">
        <v>166</v>
      </c>
      <c r="X14" s="32" t="s">
        <v>167</v>
      </c>
      <c r="Y14" s="33"/>
      <c r="Z14" s="33"/>
    </row>
    <row r="15" customFormat="false" ht="61.5" hidden="false" customHeight="true" outlineLevel="0" collapsed="false">
      <c r="A15" s="26" t="n">
        <v>5</v>
      </c>
      <c r="B15" s="27" t="s">
        <v>60</v>
      </c>
      <c r="C15" s="28" t="s">
        <v>168</v>
      </c>
      <c r="D15" s="29" t="str">
        <f aca="false">IF(C15="","",IF(COUNTBLANK(B15)+COUNTBLANK(E15:U15)&gt;0,"有空格未填",IF(SUMPRODUCT(--ISNUMBER(SEARCH("【待",B15:C15)))+SUMPRODUCT(--ISNUMBER(SEARCH("【待",E15:W15)))&gt;0,"还有待填项","已填完")))</f>
        <v>还有待填项</v>
      </c>
      <c r="E15" s="27" t="s">
        <v>60</v>
      </c>
      <c r="F15" s="30" t="s">
        <v>169</v>
      </c>
      <c r="G15" s="30" t="s">
        <v>170</v>
      </c>
      <c r="H15" s="28" t="s">
        <v>171</v>
      </c>
      <c r="I15" s="28" t="s">
        <v>172</v>
      </c>
      <c r="J15" s="30" t="s">
        <v>169</v>
      </c>
      <c r="K15" s="30" t="s">
        <v>169</v>
      </c>
      <c r="L15" s="30" t="s">
        <v>169</v>
      </c>
      <c r="M15" s="28" t="s">
        <v>173</v>
      </c>
      <c r="N15" s="31" t="s">
        <v>174</v>
      </c>
      <c r="O15" s="28" t="s">
        <v>175</v>
      </c>
      <c r="P15" s="30" t="s">
        <v>169</v>
      </c>
      <c r="Q15" s="28" t="s">
        <v>176</v>
      </c>
      <c r="R15" s="30" t="s">
        <v>169</v>
      </c>
      <c r="S15" s="30" t="s">
        <v>169</v>
      </c>
      <c r="T15" s="30" t="s">
        <v>177</v>
      </c>
      <c r="U15" s="28" t="s">
        <v>140</v>
      </c>
      <c r="V15" s="27" t="s">
        <v>60</v>
      </c>
      <c r="W15" s="31" t="s">
        <v>178</v>
      </c>
      <c r="X15" s="32" t="s">
        <v>179</v>
      </c>
      <c r="Y15" s="33"/>
      <c r="Z15" s="33"/>
    </row>
    <row r="16" customFormat="false" ht="24" hidden="false" customHeight="true" outlineLevel="0" collapsed="false">
      <c r="A16" s="26" t="n">
        <v>6</v>
      </c>
      <c r="B16" s="27"/>
      <c r="C16" s="27"/>
      <c r="D16" s="29" t="str">
        <f aca="false">IF(C16="","",IF(COUNTBLANK(B16)+COUNTBLANK(E16:U16)&gt;0,"有空格未填",IF(SUMPRODUCT(--ISNUMBER(SEARCH("【待",B16:C16)))+SUMPRODUCT(--ISNUMBER(SEARCH("【待",E16:W16)))&gt;0,"还有待填项","已填完")))</f>
        <v/>
      </c>
      <c r="E16" s="27"/>
      <c r="F16" s="34"/>
      <c r="G16" s="34"/>
      <c r="H16" s="27"/>
      <c r="I16" s="27"/>
      <c r="J16" s="34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32"/>
      <c r="Y16" s="33"/>
      <c r="Z16" s="33"/>
    </row>
    <row r="17" customFormat="false" ht="24" hidden="false" customHeight="true" outlineLevel="0" collapsed="false">
      <c r="A17" s="26" t="n">
        <v>7</v>
      </c>
      <c r="B17" s="27"/>
      <c r="C17" s="27"/>
      <c r="D17" s="29" t="str">
        <f aca="false">IF(C17="","",IF(COUNTBLANK(B17)+COUNTBLANK(E17:U17)&gt;0,"有空格未填",IF(SUMPRODUCT(--ISNUMBER(SEARCH("【待",B17:C17)))+SUMPRODUCT(--ISNUMBER(SEARCH("【待",E17:W17)))&gt;0,"还有待填项","已填完")))</f>
        <v/>
      </c>
      <c r="E17" s="27"/>
      <c r="F17" s="34"/>
      <c r="G17" s="34"/>
      <c r="H17" s="27"/>
      <c r="I17" s="27"/>
      <c r="J17" s="34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32"/>
      <c r="Y17" s="33"/>
      <c r="Z17" s="33"/>
    </row>
    <row r="18" customFormat="false" ht="24" hidden="false" customHeight="true" outlineLevel="0" collapsed="false">
      <c r="A18" s="26" t="n">
        <v>8</v>
      </c>
      <c r="B18" s="27"/>
      <c r="C18" s="27"/>
      <c r="D18" s="29" t="str">
        <f aca="false">IF(C18="","",IF(COUNTBLANK(B18)+COUNTBLANK(E18:U18)&gt;0,"有空格未填",IF(SUMPRODUCT(--ISNUMBER(SEARCH("【待",B18:C18)))+SUMPRODUCT(--ISNUMBER(SEARCH("【待",E18:W18)))&gt;0,"还有待填项","已填完")))</f>
        <v/>
      </c>
      <c r="E18" s="27"/>
      <c r="F18" s="34"/>
      <c r="G18" s="34"/>
      <c r="H18" s="27"/>
      <c r="I18" s="27"/>
      <c r="J18" s="34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32"/>
      <c r="Y18" s="33"/>
      <c r="Z18" s="33"/>
    </row>
    <row r="19" customFormat="false" ht="24" hidden="false" customHeight="true" outlineLevel="0" collapsed="false">
      <c r="A19" s="26" t="n">
        <v>9</v>
      </c>
      <c r="B19" s="27"/>
      <c r="C19" s="27"/>
      <c r="D19" s="29" t="str">
        <f aca="false">IF(C19="","",IF(COUNTBLANK(B19)+COUNTBLANK(E19:U19)&gt;0,"有空格未填",IF(SUMPRODUCT(--ISNUMBER(SEARCH("【待",B19:C19)))+SUMPRODUCT(--ISNUMBER(SEARCH("【待",E19:W19)))&gt;0,"还有待填项","已填完")))</f>
        <v/>
      </c>
      <c r="E19" s="27"/>
      <c r="F19" s="34"/>
      <c r="G19" s="34"/>
      <c r="H19" s="27"/>
      <c r="I19" s="27"/>
      <c r="J19" s="34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32"/>
      <c r="Y19" s="33"/>
      <c r="Z19" s="33"/>
    </row>
    <row r="20" customFormat="false" ht="24" hidden="false" customHeight="true" outlineLevel="0" collapsed="false">
      <c r="A20" s="26" t="n">
        <v>10</v>
      </c>
      <c r="B20" s="27"/>
      <c r="C20" s="27"/>
      <c r="D20" s="29" t="str">
        <f aca="false">IF(C20="","",IF(COUNTBLANK(B20)+COUNTBLANK(E20:U20)&gt;0,"有空格未填",IF(SUMPRODUCT(--ISNUMBER(SEARCH("【待",B20:C20)))+SUMPRODUCT(--ISNUMBER(SEARCH("【待",E20:W20)))&gt;0,"还有待填项","已填完")))</f>
        <v/>
      </c>
      <c r="E20" s="27"/>
      <c r="F20" s="34"/>
      <c r="G20" s="34"/>
      <c r="H20" s="27"/>
      <c r="I20" s="27"/>
      <c r="J20" s="34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32"/>
      <c r="Y20" s="33"/>
      <c r="Z20" s="33"/>
    </row>
    <row r="21" customFormat="false" ht="24" hidden="false" customHeight="true" outlineLevel="0" collapsed="false">
      <c r="A21" s="26" t="n">
        <v>11</v>
      </c>
      <c r="B21" s="27"/>
      <c r="C21" s="27"/>
      <c r="D21" s="29" t="str">
        <f aca="false">IF(C21="","",IF(COUNTBLANK(B21)+COUNTBLANK(E21:U21)&gt;0,"有空格未填",IF(SUMPRODUCT(--ISNUMBER(SEARCH("【待",B21:C21)))+SUMPRODUCT(--ISNUMBER(SEARCH("【待",E21:W21)))&gt;0,"还有待填项","已填完")))</f>
        <v/>
      </c>
      <c r="E21" s="27"/>
      <c r="F21" s="34"/>
      <c r="G21" s="34"/>
      <c r="H21" s="27"/>
      <c r="I21" s="27"/>
      <c r="J21" s="34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32"/>
      <c r="Y21" s="33"/>
      <c r="Z21" s="33"/>
    </row>
    <row r="22" customFormat="false" ht="24" hidden="false" customHeight="true" outlineLevel="0" collapsed="false">
      <c r="A22" s="26" t="n">
        <v>12</v>
      </c>
      <c r="B22" s="27"/>
      <c r="C22" s="27"/>
      <c r="D22" s="29" t="str">
        <f aca="false">IF(C22="","",IF(COUNTBLANK(B22)+COUNTBLANK(E22:U22)&gt;0,"有空格未填",IF(SUMPRODUCT(--ISNUMBER(SEARCH("【待",B22:C22)))+SUMPRODUCT(--ISNUMBER(SEARCH("【待",E22:W22)))&gt;0,"还有待填项","已填完")))</f>
        <v/>
      </c>
      <c r="E22" s="27"/>
      <c r="F22" s="34"/>
      <c r="G22" s="34"/>
      <c r="H22" s="27"/>
      <c r="I22" s="27"/>
      <c r="J22" s="34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32"/>
      <c r="Y22" s="33"/>
      <c r="Z22" s="33"/>
    </row>
    <row r="23" customFormat="false" ht="24" hidden="false" customHeight="true" outlineLevel="0" collapsed="false">
      <c r="A23" s="26" t="n">
        <v>13</v>
      </c>
      <c r="B23" s="27"/>
      <c r="C23" s="27"/>
      <c r="D23" s="29" t="str">
        <f aca="false">IF(C23="","",IF(COUNTBLANK(B23)+COUNTBLANK(E23:U23)&gt;0,"有空格未填",IF(SUMPRODUCT(--ISNUMBER(SEARCH("【待",B23:C23)))+SUMPRODUCT(--ISNUMBER(SEARCH("【待",E23:W23)))&gt;0,"还有待填项","已填完")))</f>
        <v/>
      </c>
      <c r="E23" s="27"/>
      <c r="F23" s="34"/>
      <c r="G23" s="34"/>
      <c r="H23" s="27"/>
      <c r="I23" s="27"/>
      <c r="J23" s="34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32"/>
      <c r="Y23" s="33"/>
      <c r="Z23" s="33"/>
    </row>
    <row r="24" customFormat="false" ht="24" hidden="false" customHeight="true" outlineLevel="0" collapsed="false">
      <c r="A24" s="26" t="n">
        <v>14</v>
      </c>
      <c r="B24" s="27"/>
      <c r="C24" s="27"/>
      <c r="D24" s="29" t="str">
        <f aca="false">IF(C24="","",IF(COUNTBLANK(B24)+COUNTBLANK(E24:U24)&gt;0,"有空格未填",IF(SUMPRODUCT(--ISNUMBER(SEARCH("【待",B24:C24)))+SUMPRODUCT(--ISNUMBER(SEARCH("【待",E24:W24)))&gt;0,"还有待填项","已填完")))</f>
        <v/>
      </c>
      <c r="E24" s="27"/>
      <c r="F24" s="34"/>
      <c r="G24" s="34"/>
      <c r="H24" s="27"/>
      <c r="I24" s="27"/>
      <c r="J24" s="34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32"/>
      <c r="Y24" s="33"/>
      <c r="Z24" s="33"/>
    </row>
    <row r="25" customFormat="false" ht="24" hidden="false" customHeight="true" outlineLevel="0" collapsed="false">
      <c r="A25" s="26" t="n">
        <v>15</v>
      </c>
      <c r="B25" s="27"/>
      <c r="C25" s="27"/>
      <c r="D25" s="29" t="str">
        <f aca="false">IF(C25="","",IF(COUNTBLANK(B25)+COUNTBLANK(E25:U25)&gt;0,"有空格未填",IF(SUMPRODUCT(--ISNUMBER(SEARCH("【待",B25:C25)))+SUMPRODUCT(--ISNUMBER(SEARCH("【待",E25:W25)))&gt;0,"还有待填项","已填完")))</f>
        <v/>
      </c>
      <c r="E25" s="27"/>
      <c r="F25" s="34"/>
      <c r="G25" s="34"/>
      <c r="H25" s="27"/>
      <c r="I25" s="27"/>
      <c r="J25" s="34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32"/>
      <c r="Y25" s="33"/>
      <c r="Z25" s="33"/>
    </row>
    <row r="27" customFormat="false" ht="19.5" hidden="false" customHeight="true" outlineLevel="0" collapsed="false">
      <c r="A27" s="16" t="s">
        <v>180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customFormat="false" ht="19.5" hidden="false" customHeight="true" outlineLevel="0" collapsed="false">
      <c r="A28" s="16" t="s">
        <v>181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customFormat="false" ht="19.5" hidden="false" customHeight="true" outlineLevel="0" collapsed="false">
      <c r="A29" s="16" t="s">
        <v>182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</sheetData>
  <mergeCells count="31">
    <mergeCell ref="A1:Z1"/>
    <mergeCell ref="A2:Z2"/>
    <mergeCell ref="A3:Z3"/>
    <mergeCell ref="B4:C4"/>
    <mergeCell ref="D4:H4"/>
    <mergeCell ref="I4:J4"/>
    <mergeCell ref="K4:N4"/>
    <mergeCell ref="P4:S4"/>
    <mergeCell ref="B5:C5"/>
    <mergeCell ref="D5:H5"/>
    <mergeCell ref="I5:J5"/>
    <mergeCell ref="K5:N5"/>
    <mergeCell ref="P5:S5"/>
    <mergeCell ref="B6:C6"/>
    <mergeCell ref="D6:H6"/>
    <mergeCell ref="I6:J6"/>
    <mergeCell ref="K6:N6"/>
    <mergeCell ref="P6:S6"/>
    <mergeCell ref="B7:C7"/>
    <mergeCell ref="D7:H7"/>
    <mergeCell ref="I7:J7"/>
    <mergeCell ref="K7:N7"/>
    <mergeCell ref="P7:S7"/>
    <mergeCell ref="B8:C8"/>
    <mergeCell ref="D8:H8"/>
    <mergeCell ref="I8:J8"/>
    <mergeCell ref="K8:N8"/>
    <mergeCell ref="P8:S8"/>
    <mergeCell ref="A27:Z27"/>
    <mergeCell ref="A28:Z28"/>
    <mergeCell ref="A29:Z29"/>
  </mergeCells>
  <dataValidations count="4">
    <dataValidation allowBlank="true" errorStyle="stop" operator="between" showDropDown="false" showErrorMessage="false" showInputMessage="false" sqref="F11:F25" type="list">
      <formula1>"A,B,C,—"</formula1>
      <formula2>0</formula2>
    </dataValidation>
    <dataValidation allowBlank="true" errorStyle="stop" operator="between" showDropDown="false" showErrorMessage="false" showInputMessage="false" sqref="G11:G25" type="list">
      <formula1>"PC/ABS,ABS,PC,PC（光扩散级）,PMMA,PP,TPE / TPU,硅胶,铝合金,不锈钢,锌合金,LED 灯珠 / 灯带,其他"</formula1>
      <formula2>0</formula2>
    </dataValidation>
    <dataValidation allowBlank="true" errorStyle="stop" operator="between" showDropDown="false" showErrorMessage="false" showInputMessage="false" sqref="I11:I25" type="list">
      <formula1>"HB,V-2,V-1,V-0,5VA,无要求,不适用（金属件）,【待确认】"</formula1>
      <formula2>0</formula2>
    </dataValidation>
    <dataValidation allowBlank="true" errorStyle="stop" operator="between" showDropDown="false" showErrorMessage="false" showInputMessage="false" sqref="J11:J25" type="list">
      <formula1>"注塑,双色注塑,CNC 加工,冲压,挤压型材 / 管材 + CNC 车削,压铸,—"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4" min="4" style="0" width="34"/>
    <col collapsed="false" customWidth="true" hidden="false" outlineLevel="0" max="5" min="5" style="0" width="32"/>
    <col collapsed="false" customWidth="true" hidden="false" outlineLevel="0" max="6" min="6" style="0" width="34"/>
    <col collapsed="false" customWidth="true" hidden="false" outlineLevel="0" max="7" min="7" style="0" width="36"/>
    <col collapsed="false" customWidth="true" hidden="false" outlineLevel="0" max="8" min="8" style="0" width="9"/>
  </cols>
  <sheetData>
    <row r="1" customFormat="false" ht="30" hidden="false" customHeight="true" outlineLevel="0" collapsed="false">
      <c r="A1" s="35" t="s">
        <v>183</v>
      </c>
      <c r="B1" s="35"/>
      <c r="C1" s="35"/>
      <c r="D1" s="35"/>
      <c r="E1" s="35"/>
      <c r="F1" s="35"/>
      <c r="G1" s="35"/>
      <c r="H1" s="35"/>
    </row>
    <row r="2" customFormat="false" ht="33.75" hidden="false" customHeight="true" outlineLevel="0" collapsed="false">
      <c r="A2" s="16" t="s">
        <v>184</v>
      </c>
      <c r="B2" s="16"/>
      <c r="C2" s="16"/>
      <c r="D2" s="16"/>
      <c r="E2" s="16"/>
      <c r="F2" s="16"/>
      <c r="G2" s="16"/>
      <c r="H2" s="16"/>
    </row>
    <row r="4" customFormat="false" ht="33.75" hidden="false" customHeight="true" outlineLevel="0" collapsed="false">
      <c r="A4" s="24" t="s">
        <v>185</v>
      </c>
      <c r="B4" s="24" t="s">
        <v>186</v>
      </c>
      <c r="C4" s="24" t="s">
        <v>187</v>
      </c>
      <c r="D4" s="24" t="s">
        <v>188</v>
      </c>
      <c r="E4" s="24" t="s">
        <v>189</v>
      </c>
      <c r="F4" s="24" t="s">
        <v>190</v>
      </c>
      <c r="G4" s="24" t="s">
        <v>191</v>
      </c>
      <c r="H4" s="24" t="s">
        <v>192</v>
      </c>
    </row>
    <row r="5" customFormat="false" ht="61.5" hidden="false" customHeight="true" outlineLevel="0" collapsed="false">
      <c r="A5" s="36" t="s">
        <v>193</v>
      </c>
      <c r="B5" s="37" t="s">
        <v>194</v>
      </c>
      <c r="C5" s="38" t="s">
        <v>195</v>
      </c>
      <c r="D5" s="38" t="s">
        <v>196</v>
      </c>
      <c r="E5" s="37" t="s">
        <v>197</v>
      </c>
      <c r="F5" s="39" t="s">
        <v>198</v>
      </c>
      <c r="G5" s="38" t="s">
        <v>199</v>
      </c>
      <c r="H5" s="32" t="s">
        <v>200</v>
      </c>
    </row>
    <row r="6" customFormat="false" ht="47.25" hidden="false" customHeight="true" outlineLevel="0" collapsed="false">
      <c r="A6" s="36" t="s">
        <v>201</v>
      </c>
      <c r="B6" s="37" t="s">
        <v>202</v>
      </c>
      <c r="C6" s="38" t="s">
        <v>195</v>
      </c>
      <c r="D6" s="38" t="s">
        <v>203</v>
      </c>
      <c r="E6" s="37" t="s">
        <v>204</v>
      </c>
      <c r="F6" s="31" t="s">
        <v>205</v>
      </c>
      <c r="G6" s="37" t="s">
        <v>206</v>
      </c>
      <c r="H6" s="32" t="s">
        <v>207</v>
      </c>
    </row>
    <row r="7" customFormat="false" ht="47.25" hidden="false" customHeight="true" outlineLevel="0" collapsed="false">
      <c r="A7" s="36" t="s">
        <v>208</v>
      </c>
      <c r="B7" s="37" t="s">
        <v>209</v>
      </c>
      <c r="C7" s="38" t="s">
        <v>195</v>
      </c>
      <c r="D7" s="37" t="s">
        <v>210</v>
      </c>
      <c r="E7" s="37" t="s">
        <v>211</v>
      </c>
      <c r="F7" s="31" t="s">
        <v>212</v>
      </c>
      <c r="G7" s="37" t="s">
        <v>213</v>
      </c>
      <c r="H7" s="32" t="s">
        <v>214</v>
      </c>
    </row>
    <row r="8" customFormat="false" ht="47.25" hidden="false" customHeight="true" outlineLevel="0" collapsed="false">
      <c r="A8" s="36" t="s">
        <v>215</v>
      </c>
      <c r="B8" s="37" t="s">
        <v>216</v>
      </c>
      <c r="C8" s="38" t="s">
        <v>195</v>
      </c>
      <c r="D8" s="37" t="s">
        <v>217</v>
      </c>
      <c r="E8" s="37" t="s">
        <v>218</v>
      </c>
      <c r="F8" s="31" t="s">
        <v>219</v>
      </c>
      <c r="G8" s="37" t="s">
        <v>220</v>
      </c>
      <c r="H8" s="32" t="s">
        <v>169</v>
      </c>
    </row>
    <row r="9" customFormat="false" ht="47.25" hidden="false" customHeight="true" outlineLevel="0" collapsed="false">
      <c r="A9" s="36" t="s">
        <v>221</v>
      </c>
      <c r="B9" s="37" t="s">
        <v>222</v>
      </c>
      <c r="C9" s="38" t="s">
        <v>195</v>
      </c>
      <c r="D9" s="38" t="s">
        <v>223</v>
      </c>
      <c r="E9" s="37" t="s">
        <v>224</v>
      </c>
      <c r="F9" s="31" t="s">
        <v>225</v>
      </c>
      <c r="G9" s="37" t="s">
        <v>226</v>
      </c>
      <c r="H9" s="32" t="s">
        <v>227</v>
      </c>
    </row>
    <row r="10" customFormat="false" ht="47.25" hidden="false" customHeight="true" outlineLevel="0" collapsed="false">
      <c r="A10" s="36" t="s">
        <v>228</v>
      </c>
      <c r="B10" s="37" t="s">
        <v>229</v>
      </c>
      <c r="C10" s="37" t="s">
        <v>230</v>
      </c>
      <c r="D10" s="38" t="s">
        <v>231</v>
      </c>
      <c r="E10" s="37" t="s">
        <v>232</v>
      </c>
      <c r="F10" s="31" t="s">
        <v>233</v>
      </c>
      <c r="G10" s="37" t="s">
        <v>234</v>
      </c>
      <c r="H10" s="32" t="s">
        <v>235</v>
      </c>
    </row>
    <row r="11" customFormat="false" ht="61.5" hidden="false" customHeight="true" outlineLevel="0" collapsed="false">
      <c r="A11" s="36" t="s">
        <v>236</v>
      </c>
      <c r="B11" s="37" t="s">
        <v>237</v>
      </c>
      <c r="C11" s="38" t="s">
        <v>238</v>
      </c>
      <c r="D11" s="37" t="s">
        <v>239</v>
      </c>
      <c r="E11" s="37" t="s">
        <v>240</v>
      </c>
      <c r="F11" s="31" t="s">
        <v>241</v>
      </c>
      <c r="G11" s="37" t="s">
        <v>242</v>
      </c>
      <c r="H11" s="32" t="s">
        <v>243</v>
      </c>
    </row>
    <row r="12" customFormat="false" ht="47.25" hidden="false" customHeight="true" outlineLevel="0" collapsed="false">
      <c r="A12" s="36" t="s">
        <v>244</v>
      </c>
      <c r="B12" s="37" t="s">
        <v>245</v>
      </c>
      <c r="C12" s="38" t="s">
        <v>246</v>
      </c>
      <c r="D12" s="37" t="s">
        <v>247</v>
      </c>
      <c r="E12" s="37" t="s">
        <v>248</v>
      </c>
      <c r="F12" s="30" t="s">
        <v>249</v>
      </c>
      <c r="G12" s="37" t="s">
        <v>250</v>
      </c>
      <c r="H12" s="32" t="s">
        <v>251</v>
      </c>
    </row>
    <row r="13" customFormat="false" ht="47.25" hidden="false" customHeight="true" outlineLevel="0" collapsed="false">
      <c r="A13" s="36" t="s">
        <v>252</v>
      </c>
      <c r="B13" s="37" t="s">
        <v>253</v>
      </c>
      <c r="C13" s="38" t="s">
        <v>246</v>
      </c>
      <c r="D13" s="38" t="s">
        <v>254</v>
      </c>
      <c r="E13" s="37" t="s">
        <v>255</v>
      </c>
      <c r="F13" s="28" t="s">
        <v>256</v>
      </c>
      <c r="G13" s="37" t="s">
        <v>257</v>
      </c>
      <c r="H13" s="32" t="s">
        <v>258</v>
      </c>
    </row>
    <row r="14" customFormat="false" ht="47.25" hidden="false" customHeight="true" outlineLevel="0" collapsed="false">
      <c r="A14" s="36" t="s">
        <v>259</v>
      </c>
      <c r="B14" s="37" t="s">
        <v>260</v>
      </c>
      <c r="C14" s="38" t="s">
        <v>246</v>
      </c>
      <c r="D14" s="38" t="s">
        <v>261</v>
      </c>
      <c r="E14" s="37" t="s">
        <v>262</v>
      </c>
      <c r="F14" s="31" t="s">
        <v>263</v>
      </c>
      <c r="G14" s="37" t="s">
        <v>264</v>
      </c>
      <c r="H14" s="32" t="s">
        <v>265</v>
      </c>
    </row>
    <row r="15" customFormat="false" ht="47.25" hidden="false" customHeight="true" outlineLevel="0" collapsed="false">
      <c r="A15" s="36" t="s">
        <v>266</v>
      </c>
      <c r="B15" s="37" t="s">
        <v>267</v>
      </c>
      <c r="C15" s="38" t="s">
        <v>268</v>
      </c>
      <c r="D15" s="38" t="s">
        <v>269</v>
      </c>
      <c r="E15" s="37" t="s">
        <v>270</v>
      </c>
      <c r="F15" s="31" t="s">
        <v>271</v>
      </c>
      <c r="G15" s="37" t="s">
        <v>272</v>
      </c>
      <c r="H15" s="32" t="s">
        <v>273</v>
      </c>
    </row>
    <row r="16" customFormat="false" ht="47.25" hidden="false" customHeight="true" outlineLevel="0" collapsed="false">
      <c r="A16" s="36" t="s">
        <v>274</v>
      </c>
      <c r="B16" s="37" t="s">
        <v>275</v>
      </c>
      <c r="C16" s="38" t="s">
        <v>276</v>
      </c>
      <c r="D16" s="38" t="s">
        <v>277</v>
      </c>
      <c r="E16" s="37" t="s">
        <v>278</v>
      </c>
      <c r="F16" s="31" t="s">
        <v>279</v>
      </c>
      <c r="G16" s="37" t="s">
        <v>280</v>
      </c>
      <c r="H16" s="32" t="s">
        <v>281</v>
      </c>
    </row>
    <row r="17" customFormat="false" ht="76.5" hidden="false" customHeight="true" outlineLevel="0" collapsed="false">
      <c r="A17" s="36" t="s">
        <v>282</v>
      </c>
      <c r="B17" s="37" t="s">
        <v>283</v>
      </c>
      <c r="C17" s="38" t="s">
        <v>284</v>
      </c>
      <c r="D17" s="37" t="s">
        <v>285</v>
      </c>
      <c r="E17" s="37" t="s">
        <v>286</v>
      </c>
      <c r="F17" s="31" t="s">
        <v>287</v>
      </c>
      <c r="G17" s="37" t="s">
        <v>288</v>
      </c>
      <c r="H17" s="32" t="s">
        <v>289</v>
      </c>
    </row>
    <row r="18" customFormat="false" ht="61.5" hidden="false" customHeight="true" outlineLevel="0" collapsed="false">
      <c r="A18" s="36" t="s">
        <v>290</v>
      </c>
      <c r="B18" s="37" t="s">
        <v>291</v>
      </c>
      <c r="C18" s="38" t="s">
        <v>238</v>
      </c>
      <c r="D18" s="37" t="s">
        <v>292</v>
      </c>
      <c r="E18" s="37" t="s">
        <v>293</v>
      </c>
      <c r="F18" s="31" t="s">
        <v>294</v>
      </c>
      <c r="G18" s="37" t="s">
        <v>295</v>
      </c>
      <c r="H18" s="32" t="s">
        <v>296</v>
      </c>
    </row>
    <row r="19" customFormat="false" ht="33" hidden="false" customHeight="true" outlineLevel="0" collapsed="false">
      <c r="A19" s="36" t="s">
        <v>297</v>
      </c>
      <c r="B19" s="37" t="s">
        <v>298</v>
      </c>
      <c r="C19" s="37" t="s">
        <v>299</v>
      </c>
      <c r="D19" s="38" t="s">
        <v>300</v>
      </c>
      <c r="E19" s="37" t="s">
        <v>301</v>
      </c>
      <c r="F19" s="31" t="s">
        <v>302</v>
      </c>
      <c r="G19" s="38" t="s">
        <v>169</v>
      </c>
      <c r="H19" s="32" t="s">
        <v>303</v>
      </c>
    </row>
    <row r="20" customFormat="false" ht="61.5" hidden="false" customHeight="true" outlineLevel="0" collapsed="false">
      <c r="A20" s="36" t="s">
        <v>304</v>
      </c>
      <c r="B20" s="37" t="s">
        <v>305</v>
      </c>
      <c r="C20" s="37" t="s">
        <v>306</v>
      </c>
      <c r="D20" s="38" t="s">
        <v>307</v>
      </c>
      <c r="E20" s="37" t="s">
        <v>308</v>
      </c>
      <c r="F20" s="28" t="s">
        <v>309</v>
      </c>
      <c r="G20" s="37" t="s">
        <v>310</v>
      </c>
      <c r="H20" s="32" t="s">
        <v>311</v>
      </c>
    </row>
    <row r="21" customFormat="false" ht="76.5" hidden="false" customHeight="true" outlineLevel="0" collapsed="false">
      <c r="A21" s="36" t="s">
        <v>312</v>
      </c>
      <c r="B21" s="37" t="s">
        <v>313</v>
      </c>
      <c r="C21" s="37" t="s">
        <v>314</v>
      </c>
      <c r="D21" s="37" t="s">
        <v>315</v>
      </c>
      <c r="E21" s="37" t="s">
        <v>316</v>
      </c>
      <c r="F21" s="28" t="s">
        <v>317</v>
      </c>
      <c r="G21" s="37" t="s">
        <v>318</v>
      </c>
      <c r="H21" s="32" t="s">
        <v>319</v>
      </c>
    </row>
    <row r="22" customFormat="false" ht="61.5" hidden="false" customHeight="true" outlineLevel="0" collapsed="false">
      <c r="A22" s="36" t="s">
        <v>320</v>
      </c>
      <c r="B22" s="37" t="s">
        <v>321</v>
      </c>
      <c r="C22" s="37" t="s">
        <v>322</v>
      </c>
      <c r="D22" s="38" t="s">
        <v>323</v>
      </c>
      <c r="E22" s="37" t="s">
        <v>324</v>
      </c>
      <c r="F22" s="31" t="s">
        <v>325</v>
      </c>
      <c r="G22" s="37" t="s">
        <v>326</v>
      </c>
      <c r="H22" s="32" t="s">
        <v>327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35" t="s">
        <v>328</v>
      </c>
      <c r="B1" s="35"/>
      <c r="C1" s="35"/>
      <c r="D1" s="35"/>
      <c r="E1" s="35"/>
      <c r="F1" s="35"/>
    </row>
    <row r="3" customFormat="false" ht="31.5" hidden="false" customHeight="true" outlineLevel="0" collapsed="false">
      <c r="A3" s="24" t="s">
        <v>80</v>
      </c>
      <c r="B3" s="24" t="s">
        <v>329</v>
      </c>
      <c r="C3" s="24" t="s">
        <v>330</v>
      </c>
      <c r="D3" s="24" t="s">
        <v>331</v>
      </c>
      <c r="E3" s="24" t="s">
        <v>332</v>
      </c>
      <c r="F3" s="24" t="s">
        <v>333</v>
      </c>
    </row>
    <row r="4" customFormat="false" ht="33" hidden="false" customHeight="true" outlineLevel="0" collapsed="false">
      <c r="A4" s="26" t="n">
        <v>1</v>
      </c>
      <c r="B4" s="36" t="s">
        <v>334</v>
      </c>
      <c r="C4" s="38" t="s">
        <v>335</v>
      </c>
      <c r="D4" s="37" t="s">
        <v>336</v>
      </c>
      <c r="E4" s="37" t="s">
        <v>337</v>
      </c>
      <c r="F4" s="40"/>
    </row>
    <row r="5" customFormat="false" ht="21.75" hidden="false" customHeight="true" outlineLevel="0" collapsed="false">
      <c r="A5" s="26" t="n">
        <v>2</v>
      </c>
      <c r="B5" s="36" t="s">
        <v>338</v>
      </c>
      <c r="C5" s="38" t="s">
        <v>339</v>
      </c>
      <c r="D5" s="37" t="s">
        <v>340</v>
      </c>
      <c r="E5" s="37" t="s">
        <v>341</v>
      </c>
      <c r="F5" s="40"/>
    </row>
    <row r="6" customFormat="false" ht="33" hidden="false" customHeight="true" outlineLevel="0" collapsed="false">
      <c r="A6" s="26" t="n">
        <v>3</v>
      </c>
      <c r="B6" s="41" t="s">
        <v>342</v>
      </c>
      <c r="C6" s="38" t="s">
        <v>343</v>
      </c>
      <c r="D6" s="37" t="s">
        <v>336</v>
      </c>
      <c r="E6" s="37" t="s">
        <v>344</v>
      </c>
      <c r="F6" s="40"/>
    </row>
    <row r="7" customFormat="false" ht="33" hidden="false" customHeight="true" outlineLevel="0" collapsed="false">
      <c r="A7" s="26" t="n">
        <v>4</v>
      </c>
      <c r="B7" s="41" t="s">
        <v>345</v>
      </c>
      <c r="C7" s="37" t="s">
        <v>346</v>
      </c>
      <c r="D7" s="37" t="s">
        <v>336</v>
      </c>
      <c r="E7" s="37" t="s">
        <v>347</v>
      </c>
      <c r="F7" s="40"/>
    </row>
    <row r="8" customFormat="false" ht="21.75" hidden="false" customHeight="true" outlineLevel="0" collapsed="false">
      <c r="A8" s="26" t="n">
        <v>5</v>
      </c>
      <c r="B8" s="36" t="s">
        <v>348</v>
      </c>
      <c r="C8" s="38" t="s">
        <v>349</v>
      </c>
      <c r="D8" s="37" t="s">
        <v>350</v>
      </c>
      <c r="E8" s="37" t="s">
        <v>351</v>
      </c>
      <c r="F8" s="40"/>
    </row>
    <row r="9" customFormat="false" ht="33" hidden="false" customHeight="true" outlineLevel="0" collapsed="false">
      <c r="A9" s="26" t="n">
        <v>6</v>
      </c>
      <c r="B9" s="41" t="s">
        <v>352</v>
      </c>
      <c r="C9" s="38" t="s">
        <v>353</v>
      </c>
      <c r="D9" s="37" t="s">
        <v>354</v>
      </c>
      <c r="E9" s="37" t="s">
        <v>355</v>
      </c>
      <c r="F9" s="40"/>
    </row>
    <row r="10" customFormat="false" ht="33" hidden="false" customHeight="true" outlineLevel="0" collapsed="false">
      <c r="A10" s="26" t="n">
        <v>7</v>
      </c>
      <c r="B10" s="41" t="s">
        <v>356</v>
      </c>
      <c r="C10" s="37" t="s">
        <v>357</v>
      </c>
      <c r="D10" s="37" t="s">
        <v>336</v>
      </c>
      <c r="E10" s="37" t="s">
        <v>358</v>
      </c>
      <c r="F10" s="40"/>
    </row>
    <row r="11" customFormat="false" ht="21.75" hidden="false" customHeight="true" outlineLevel="0" collapsed="false">
      <c r="A11" s="26" t="n">
        <v>8</v>
      </c>
      <c r="B11" s="41" t="s">
        <v>359</v>
      </c>
      <c r="C11" s="37" t="s">
        <v>360</v>
      </c>
      <c r="D11" s="37" t="s">
        <v>354</v>
      </c>
      <c r="E11" s="37" t="s">
        <v>361</v>
      </c>
      <c r="F11" s="40"/>
    </row>
    <row r="12" customFormat="false" ht="21.75" hidden="false" customHeight="true" outlineLevel="0" collapsed="false">
      <c r="A12" s="26" t="n">
        <v>9</v>
      </c>
      <c r="B12" s="41" t="s">
        <v>362</v>
      </c>
      <c r="C12" s="37" t="s">
        <v>360</v>
      </c>
      <c r="D12" s="37" t="s">
        <v>363</v>
      </c>
      <c r="E12" s="37" t="s">
        <v>364</v>
      </c>
      <c r="F12" s="40"/>
    </row>
    <row r="13" customFormat="false" ht="21.75" hidden="false" customHeight="true" outlineLevel="0" collapsed="false">
      <c r="A13" s="26" t="n">
        <v>10</v>
      </c>
      <c r="B13" s="41" t="s">
        <v>365</v>
      </c>
      <c r="C13" s="37" t="s">
        <v>366</v>
      </c>
      <c r="D13" s="37" t="s">
        <v>367</v>
      </c>
      <c r="E13" s="37" t="s">
        <v>368</v>
      </c>
      <c r="F13" s="40"/>
    </row>
    <row r="15" customFormat="false" ht="15" hidden="false" customHeight="false" outlineLevel="0" collapsed="false">
      <c r="A15" s="17" t="s">
        <v>369</v>
      </c>
      <c r="B15" s="17"/>
      <c r="C15" s="17"/>
      <c r="D15" s="17"/>
      <c r="E15" s="17"/>
      <c r="F15" s="17"/>
    </row>
    <row r="16" customFormat="false" ht="21.75" hidden="false" customHeight="true" outlineLevel="0" collapsed="false">
      <c r="A16" s="42" t="n">
        <v>1</v>
      </c>
      <c r="B16" s="43" t="s">
        <v>370</v>
      </c>
      <c r="C16" s="43"/>
      <c r="D16" s="43"/>
      <c r="E16" s="43"/>
      <c r="F16" s="40"/>
    </row>
    <row r="17" customFormat="false" ht="21.75" hidden="false" customHeight="true" outlineLevel="0" collapsed="false">
      <c r="A17" s="42" t="n">
        <v>2</v>
      </c>
      <c r="B17" s="43" t="s">
        <v>371</v>
      </c>
      <c r="C17" s="43"/>
      <c r="D17" s="43"/>
      <c r="E17" s="43"/>
      <c r="F17" s="40"/>
    </row>
    <row r="18" customFormat="false" ht="21.75" hidden="false" customHeight="true" outlineLevel="0" collapsed="false">
      <c r="A18" s="42" t="n">
        <v>3</v>
      </c>
      <c r="B18" s="43" t="s">
        <v>372</v>
      </c>
      <c r="C18" s="43"/>
      <c r="D18" s="43"/>
      <c r="E18" s="43"/>
      <c r="F18" s="40"/>
    </row>
    <row r="19" customFormat="false" ht="21.75" hidden="false" customHeight="true" outlineLevel="0" collapsed="false">
      <c r="A19" s="42" t="n">
        <v>4</v>
      </c>
      <c r="B19" s="43" t="s">
        <v>373</v>
      </c>
      <c r="C19" s="43"/>
      <c r="D19" s="43"/>
      <c r="E19" s="43"/>
      <c r="F19" s="40"/>
    </row>
    <row r="20" customFormat="false" ht="21.75" hidden="false" customHeight="true" outlineLevel="0" collapsed="false">
      <c r="A20" s="42" t="n">
        <v>5</v>
      </c>
      <c r="B20" s="44" t="s">
        <v>374</v>
      </c>
      <c r="C20" s="44"/>
      <c r="D20" s="44"/>
      <c r="E20" s="44"/>
      <c r="F20" s="40"/>
    </row>
  </sheetData>
  <mergeCells count="7">
    <mergeCell ref="A1:F1"/>
    <mergeCell ref="A15:F15"/>
    <mergeCell ref="B16:E16"/>
    <mergeCell ref="B17:E17"/>
    <mergeCell ref="B18:E18"/>
    <mergeCell ref="B19:E19"/>
    <mergeCell ref="B20:E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30" hidden="false" customHeight="true" outlineLevel="0" collapsed="false">
      <c r="A1" s="35" t="s">
        <v>375</v>
      </c>
      <c r="B1" s="35"/>
      <c r="C1" s="35"/>
      <c r="D1" s="35"/>
      <c r="E1" s="35"/>
    </row>
    <row r="3" customFormat="false" ht="21.75" hidden="false" customHeight="true" outlineLevel="0" collapsed="false">
      <c r="A3" s="45" t="s">
        <v>376</v>
      </c>
      <c r="B3" s="45"/>
      <c r="C3" s="45"/>
      <c r="D3" s="45"/>
      <c r="E3" s="45"/>
    </row>
    <row r="4" customFormat="false" ht="19.5" hidden="false" customHeight="true" outlineLevel="0" collapsed="false">
      <c r="A4" s="46" t="s">
        <v>377</v>
      </c>
      <c r="B4" s="46" t="s">
        <v>378</v>
      </c>
    </row>
    <row r="5" customFormat="false" ht="19.5" hidden="false" customHeight="true" outlineLevel="0" collapsed="false">
      <c r="A5" s="38" t="s">
        <v>379</v>
      </c>
      <c r="B5" s="38" t="s">
        <v>380</v>
      </c>
    </row>
    <row r="6" customFormat="false" ht="19.5" hidden="false" customHeight="true" outlineLevel="0" collapsed="false">
      <c r="A6" s="38" t="s">
        <v>381</v>
      </c>
      <c r="B6" s="38" t="s">
        <v>382</v>
      </c>
    </row>
    <row r="7" customFormat="false" ht="19.5" hidden="false" customHeight="true" outlineLevel="0" collapsed="false">
      <c r="A7" s="38" t="s">
        <v>383</v>
      </c>
      <c r="B7" s="38" t="s">
        <v>384</v>
      </c>
    </row>
    <row r="8" customFormat="false" ht="19.5" hidden="false" customHeight="true" outlineLevel="0" collapsed="false">
      <c r="A8" s="38" t="s">
        <v>385</v>
      </c>
      <c r="B8" s="38" t="s">
        <v>386</v>
      </c>
    </row>
    <row r="9" customFormat="false" ht="19.5" hidden="false" customHeight="true" outlineLevel="0" collapsed="false">
      <c r="A9" s="38" t="s">
        <v>387</v>
      </c>
      <c r="B9" s="38" t="s">
        <v>388</v>
      </c>
    </row>
    <row r="10" customFormat="false" ht="19.5" hidden="false" customHeight="true" outlineLevel="0" collapsed="false">
      <c r="A10" s="38" t="s">
        <v>389</v>
      </c>
      <c r="B10" s="38" t="s">
        <v>390</v>
      </c>
    </row>
    <row r="11" customFormat="false" ht="19.5" hidden="false" customHeight="true" outlineLevel="0" collapsed="false">
      <c r="A11" s="38" t="s">
        <v>391</v>
      </c>
      <c r="B11" s="38" t="s">
        <v>392</v>
      </c>
    </row>
    <row r="12" customFormat="false" ht="19.5" hidden="false" customHeight="true" outlineLevel="0" collapsed="false">
      <c r="A12" s="38" t="s">
        <v>393</v>
      </c>
      <c r="B12" s="38" t="s">
        <v>394</v>
      </c>
    </row>
    <row r="13" customFormat="false" ht="19.5" hidden="false" customHeight="true" outlineLevel="0" collapsed="false">
      <c r="A13" s="38" t="s">
        <v>395</v>
      </c>
      <c r="B13" s="38" t="s">
        <v>396</v>
      </c>
    </row>
    <row r="14" customFormat="false" ht="19.5" hidden="false" customHeight="true" outlineLevel="0" collapsed="false">
      <c r="A14" s="38" t="s">
        <v>397</v>
      </c>
      <c r="B14" s="38" t="s">
        <v>398</v>
      </c>
    </row>
    <row r="15" customFormat="false" ht="19.5" hidden="false" customHeight="true" outlineLevel="0" collapsed="false">
      <c r="A15" s="38" t="s">
        <v>399</v>
      </c>
      <c r="B15" s="38" t="s">
        <v>400</v>
      </c>
    </row>
    <row r="16" customFormat="false" ht="19.5" hidden="false" customHeight="true" outlineLevel="0" collapsed="false">
      <c r="A16" s="38" t="s">
        <v>401</v>
      </c>
      <c r="B16" s="38" t="s">
        <v>402</v>
      </c>
    </row>
    <row r="17" customFormat="false" ht="33" hidden="false" customHeight="true" outlineLevel="0" collapsed="false">
      <c r="A17" s="47" t="s">
        <v>403</v>
      </c>
      <c r="B17" s="47"/>
      <c r="C17" s="47"/>
      <c r="D17" s="47"/>
      <c r="E17" s="47"/>
    </row>
    <row r="19" customFormat="false" ht="21.75" hidden="false" customHeight="true" outlineLevel="0" collapsed="false">
      <c r="A19" s="45" t="s">
        <v>404</v>
      </c>
      <c r="B19" s="45"/>
      <c r="C19" s="45"/>
      <c r="D19" s="45"/>
      <c r="E19" s="45"/>
    </row>
    <row r="20" customFormat="false" ht="19.5" hidden="false" customHeight="true" outlineLevel="0" collapsed="false">
      <c r="A20" s="24" t="s">
        <v>405</v>
      </c>
      <c r="B20" s="24" t="s">
        <v>406</v>
      </c>
      <c r="C20" s="46" t="s">
        <v>407</v>
      </c>
      <c r="D20" s="24" t="s">
        <v>408</v>
      </c>
    </row>
    <row r="21" customFormat="false" ht="19.5" hidden="false" customHeight="true" outlineLevel="0" collapsed="false">
      <c r="A21" s="38" t="s">
        <v>409</v>
      </c>
      <c r="B21" s="37" t="s">
        <v>410</v>
      </c>
      <c r="C21" s="38" t="s">
        <v>411</v>
      </c>
      <c r="D21" s="37" t="s">
        <v>412</v>
      </c>
    </row>
    <row r="22" customFormat="false" ht="19.5" hidden="false" customHeight="true" outlineLevel="0" collapsed="false">
      <c r="A22" s="38" t="s">
        <v>413</v>
      </c>
      <c r="B22" s="37" t="s">
        <v>414</v>
      </c>
      <c r="C22" s="38" t="s">
        <v>415</v>
      </c>
      <c r="D22" s="37" t="s">
        <v>412</v>
      </c>
    </row>
    <row r="23" customFormat="false" ht="19.5" hidden="false" customHeight="true" outlineLevel="0" collapsed="false">
      <c r="A23" s="38" t="s">
        <v>416</v>
      </c>
      <c r="B23" s="37" t="s">
        <v>417</v>
      </c>
      <c r="C23" s="38" t="s">
        <v>418</v>
      </c>
      <c r="D23" s="37" t="s">
        <v>419</v>
      </c>
    </row>
    <row r="24" customFormat="false" ht="19.5" hidden="false" customHeight="true" outlineLevel="0" collapsed="false">
      <c r="A24" s="38" t="s">
        <v>420</v>
      </c>
      <c r="B24" s="38" t="s">
        <v>421</v>
      </c>
      <c r="C24" s="38" t="s">
        <v>418</v>
      </c>
      <c r="D24" s="37" t="s">
        <v>422</v>
      </c>
    </row>
    <row r="25" customFormat="false" ht="19.5" hidden="false" customHeight="true" outlineLevel="0" collapsed="false">
      <c r="A25" s="38" t="s">
        <v>423</v>
      </c>
      <c r="B25" s="38" t="s">
        <v>424</v>
      </c>
      <c r="C25" s="38" t="s">
        <v>425</v>
      </c>
      <c r="D25" s="37" t="s">
        <v>422</v>
      </c>
    </row>
    <row r="26" customFormat="false" ht="19.5" hidden="false" customHeight="true" outlineLevel="0" collapsed="false">
      <c r="A26" s="38" t="s">
        <v>426</v>
      </c>
      <c r="B26" s="38" t="s">
        <v>427</v>
      </c>
      <c r="C26" s="38" t="s">
        <v>428</v>
      </c>
      <c r="D26" s="37" t="s">
        <v>422</v>
      </c>
    </row>
    <row r="27" customFormat="false" ht="19.5" hidden="false" customHeight="true" outlineLevel="0" collapsed="false">
      <c r="A27" s="38" t="s">
        <v>429</v>
      </c>
      <c r="B27" s="38" t="s">
        <v>430</v>
      </c>
      <c r="C27" s="38" t="s">
        <v>431</v>
      </c>
      <c r="D27" s="37" t="s">
        <v>432</v>
      </c>
    </row>
    <row r="28" customFormat="false" ht="19.5" hidden="false" customHeight="true" outlineLevel="0" collapsed="false">
      <c r="A28" s="38" t="s">
        <v>433</v>
      </c>
      <c r="B28" s="38" t="s">
        <v>434</v>
      </c>
      <c r="C28" s="38" t="s">
        <v>435</v>
      </c>
      <c r="D28" s="37" t="s">
        <v>432</v>
      </c>
    </row>
    <row r="29" customFormat="false" ht="19.5" hidden="false" customHeight="true" outlineLevel="0" collapsed="false">
      <c r="A29" s="38" t="s">
        <v>436</v>
      </c>
      <c r="B29" s="38" t="s">
        <v>437</v>
      </c>
      <c r="C29" s="38" t="s">
        <v>438</v>
      </c>
      <c r="D29" s="37" t="s">
        <v>432</v>
      </c>
    </row>
    <row r="30" customFormat="false" ht="19.5" hidden="false" customHeight="true" outlineLevel="0" collapsed="false">
      <c r="A30" s="38" t="s">
        <v>439</v>
      </c>
      <c r="B30" s="37" t="s">
        <v>440</v>
      </c>
      <c r="C30" s="38" t="s">
        <v>441</v>
      </c>
      <c r="D30" s="37" t="s">
        <v>442</v>
      </c>
    </row>
    <row r="31" customFormat="false" ht="19.5" hidden="false" customHeight="true" outlineLevel="0" collapsed="false">
      <c r="A31" s="38" t="s">
        <v>443</v>
      </c>
      <c r="B31" s="38" t="s">
        <v>444</v>
      </c>
      <c r="C31" s="38" t="s">
        <v>445</v>
      </c>
      <c r="D31" s="37" t="s">
        <v>446</v>
      </c>
    </row>
    <row r="32" customFormat="false" ht="19.5" hidden="false" customHeight="true" outlineLevel="0" collapsed="false">
      <c r="A32" s="38" t="s">
        <v>447</v>
      </c>
      <c r="B32" s="38" t="s">
        <v>448</v>
      </c>
      <c r="C32" s="38" t="s">
        <v>449</v>
      </c>
      <c r="D32" s="37" t="s">
        <v>450</v>
      </c>
    </row>
    <row r="33" customFormat="false" ht="18" hidden="false" customHeight="true" outlineLevel="0" collapsed="false">
      <c r="A33" s="47" t="s">
        <v>451</v>
      </c>
      <c r="B33" s="47"/>
      <c r="C33" s="47"/>
      <c r="D33" s="47"/>
      <c r="E33" s="47"/>
    </row>
    <row r="35" customFormat="false" ht="21.75" hidden="false" customHeight="true" outlineLevel="0" collapsed="false">
      <c r="A35" s="45" t="s">
        <v>452</v>
      </c>
      <c r="B35" s="45"/>
      <c r="C35" s="45"/>
      <c r="D35" s="45"/>
      <c r="E35" s="45"/>
    </row>
    <row r="36" customFormat="false" ht="47.25" hidden="false" customHeight="true" outlineLevel="0" collapsed="false">
      <c r="A36" s="47" t="s">
        <v>453</v>
      </c>
      <c r="B36" s="47"/>
      <c r="C36" s="47"/>
      <c r="D36" s="47"/>
      <c r="E36" s="47"/>
    </row>
    <row r="38" customFormat="false" ht="21.75" hidden="false" customHeight="true" outlineLevel="0" collapsed="false">
      <c r="A38" s="45" t="s">
        <v>454</v>
      </c>
      <c r="B38" s="45"/>
      <c r="C38" s="45"/>
      <c r="D38" s="45"/>
      <c r="E38" s="45"/>
    </row>
    <row r="39" customFormat="false" ht="19.5" hidden="false" customHeight="true" outlineLevel="0" collapsed="false">
      <c r="A39" s="24" t="s">
        <v>455</v>
      </c>
      <c r="B39" s="24" t="s">
        <v>456</v>
      </c>
      <c r="C39" s="24"/>
      <c r="D39" s="24"/>
      <c r="E39" s="24"/>
    </row>
    <row r="40" customFormat="false" ht="19.5" hidden="false" customHeight="true" outlineLevel="0" collapsed="false">
      <c r="A40" s="38" t="s">
        <v>457</v>
      </c>
      <c r="B40" s="37" t="s">
        <v>458</v>
      </c>
      <c r="C40" s="37"/>
      <c r="D40" s="37"/>
      <c r="E40" s="37"/>
    </row>
    <row r="41" customFormat="false" ht="19.5" hidden="false" customHeight="true" outlineLevel="0" collapsed="false">
      <c r="A41" s="38" t="s">
        <v>459</v>
      </c>
      <c r="B41" s="37" t="s">
        <v>460</v>
      </c>
      <c r="C41" s="37"/>
      <c r="D41" s="37"/>
      <c r="E41" s="37"/>
    </row>
    <row r="42" customFormat="false" ht="19.5" hidden="false" customHeight="true" outlineLevel="0" collapsed="false">
      <c r="A42" s="38" t="s">
        <v>461</v>
      </c>
      <c r="B42" s="37" t="s">
        <v>462</v>
      </c>
      <c r="C42" s="37"/>
      <c r="D42" s="37"/>
      <c r="E42" s="37"/>
    </row>
    <row r="43" customFormat="false" ht="18" hidden="false" customHeight="true" outlineLevel="0" collapsed="false">
      <c r="A43" s="47" t="s">
        <v>463</v>
      </c>
      <c r="B43" s="47"/>
      <c r="C43" s="47"/>
      <c r="D43" s="47"/>
      <c r="E43" s="47"/>
    </row>
    <row r="45" customFormat="false" ht="21.75" hidden="false" customHeight="true" outlineLevel="0" collapsed="false">
      <c r="A45" s="45" t="s">
        <v>464</v>
      </c>
      <c r="B45" s="45"/>
      <c r="C45" s="45"/>
      <c r="D45" s="45"/>
      <c r="E45" s="45"/>
    </row>
    <row r="46" customFormat="false" ht="47.25" hidden="false" customHeight="true" outlineLevel="0" collapsed="false">
      <c r="A46" s="47" t="s">
        <v>465</v>
      </c>
      <c r="B46" s="47"/>
      <c r="C46" s="47"/>
      <c r="D46" s="47"/>
      <c r="E46" s="47"/>
    </row>
    <row r="48" customFormat="false" ht="21.75" hidden="false" customHeight="true" outlineLevel="0" collapsed="false">
      <c r="A48" s="45" t="s">
        <v>466</v>
      </c>
      <c r="B48" s="45"/>
      <c r="C48" s="45"/>
      <c r="D48" s="45"/>
      <c r="E48" s="45"/>
    </row>
    <row r="49" customFormat="false" ht="47.25" hidden="false" customHeight="true" outlineLevel="0" collapsed="false">
      <c r="A49" s="48" t="s">
        <v>467</v>
      </c>
      <c r="B49" s="48"/>
      <c r="C49" s="48"/>
      <c r="D49" s="48"/>
      <c r="E49" s="48"/>
    </row>
    <row r="51" customFormat="false" ht="21.75" hidden="false" customHeight="true" outlineLevel="0" collapsed="false">
      <c r="A51" s="45" t="s">
        <v>468</v>
      </c>
      <c r="B51" s="45"/>
      <c r="C51" s="45"/>
      <c r="D51" s="45"/>
      <c r="E51" s="45"/>
    </row>
    <row r="52" customFormat="false" ht="47.25" hidden="false" customHeight="true" outlineLevel="0" collapsed="false">
      <c r="A52" s="47" t="s">
        <v>469</v>
      </c>
      <c r="B52" s="47"/>
      <c r="C52" s="47"/>
      <c r="D52" s="47"/>
      <c r="E52" s="47"/>
    </row>
    <row r="54" customFormat="false" ht="21.75" hidden="false" customHeight="true" outlineLevel="0" collapsed="false">
      <c r="A54" s="45" t="s">
        <v>470</v>
      </c>
      <c r="B54" s="45"/>
      <c r="C54" s="45"/>
      <c r="D54" s="45"/>
      <c r="E54" s="45"/>
    </row>
    <row r="55" customFormat="false" ht="19.5" hidden="false" customHeight="true" outlineLevel="0" collapsed="false">
      <c r="A55" s="24" t="s">
        <v>455</v>
      </c>
      <c r="B55" s="24" t="s">
        <v>471</v>
      </c>
      <c r="C55" s="24" t="s">
        <v>472</v>
      </c>
      <c r="D55" s="24"/>
      <c r="E55" s="24" t="s">
        <v>192</v>
      </c>
    </row>
    <row r="56" customFormat="false" ht="33" hidden="false" customHeight="true" outlineLevel="0" collapsed="false">
      <c r="A56" s="38" t="s">
        <v>473</v>
      </c>
      <c r="B56" s="38" t="s">
        <v>108</v>
      </c>
      <c r="C56" s="37" t="s">
        <v>474</v>
      </c>
      <c r="D56" s="37"/>
      <c r="E56" s="38" t="s">
        <v>475</v>
      </c>
    </row>
    <row r="57" customFormat="false" ht="33" hidden="false" customHeight="true" outlineLevel="0" collapsed="false">
      <c r="A57" s="37" t="s">
        <v>476</v>
      </c>
      <c r="B57" s="38" t="s">
        <v>477</v>
      </c>
      <c r="C57" s="37" t="s">
        <v>478</v>
      </c>
      <c r="D57" s="37"/>
      <c r="E57" s="38" t="s">
        <v>479</v>
      </c>
    </row>
    <row r="58" customFormat="false" ht="33" hidden="false" customHeight="true" outlineLevel="0" collapsed="false">
      <c r="A58" s="37" t="s">
        <v>480</v>
      </c>
      <c r="B58" s="37" t="s">
        <v>481</v>
      </c>
      <c r="C58" s="37" t="s">
        <v>482</v>
      </c>
      <c r="D58" s="37"/>
      <c r="E58" s="38" t="s">
        <v>483</v>
      </c>
    </row>
    <row r="59" customFormat="false" ht="33" hidden="false" customHeight="true" outlineLevel="0" collapsed="false">
      <c r="A59" s="47" t="s">
        <v>484</v>
      </c>
      <c r="B59" s="47"/>
      <c r="C59" s="47"/>
      <c r="D59" s="47"/>
      <c r="E59" s="47"/>
    </row>
  </sheetData>
  <mergeCells count="25">
    <mergeCell ref="A1:E1"/>
    <mergeCell ref="A3:E3"/>
    <mergeCell ref="A17:E17"/>
    <mergeCell ref="A19:E19"/>
    <mergeCell ref="A33:E33"/>
    <mergeCell ref="A35:E35"/>
    <mergeCell ref="A36:E36"/>
    <mergeCell ref="A38:E38"/>
    <mergeCell ref="B39:E39"/>
    <mergeCell ref="B40:E40"/>
    <mergeCell ref="B41:E41"/>
    <mergeCell ref="B42:E42"/>
    <mergeCell ref="A43:E43"/>
    <mergeCell ref="A45:E45"/>
    <mergeCell ref="A46:E46"/>
    <mergeCell ref="A48:E48"/>
    <mergeCell ref="A49:E49"/>
    <mergeCell ref="A51:E51"/>
    <mergeCell ref="A52:E52"/>
    <mergeCell ref="A54:E54"/>
    <mergeCell ref="C55:D55"/>
    <mergeCell ref="C56:D56"/>
    <mergeCell ref="C57:D57"/>
    <mergeCell ref="C58:D58"/>
    <mergeCell ref="A59:E5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80"/>
  </cols>
  <sheetData>
    <row r="1" customFormat="false" ht="30" hidden="false" customHeight="true" outlineLevel="0" collapsed="false">
      <c r="A1" s="35" t="s">
        <v>485</v>
      </c>
      <c r="B1" s="35"/>
      <c r="C1" s="35"/>
    </row>
    <row r="3" customFormat="false" ht="15" hidden="false" customHeight="false" outlineLevel="0" collapsed="false">
      <c r="A3" s="24" t="s">
        <v>80</v>
      </c>
      <c r="B3" s="24" t="s">
        <v>486</v>
      </c>
      <c r="C3" s="24" t="s">
        <v>487</v>
      </c>
    </row>
    <row r="4" customFormat="false" ht="33" hidden="false" customHeight="true" outlineLevel="0" collapsed="false">
      <c r="A4" s="26" t="n">
        <v>1</v>
      </c>
      <c r="B4" s="36" t="s">
        <v>3</v>
      </c>
      <c r="C4" s="38" t="s">
        <v>488</v>
      </c>
    </row>
    <row r="5" customFormat="false" ht="19.5" hidden="false" customHeight="true" outlineLevel="0" collapsed="false">
      <c r="A5" s="26" t="n">
        <v>2</v>
      </c>
      <c r="B5" s="41" t="s">
        <v>489</v>
      </c>
      <c r="C5" s="37" t="s">
        <v>490</v>
      </c>
    </row>
    <row r="6" customFormat="false" ht="19.5" hidden="false" customHeight="true" outlineLevel="0" collapsed="false">
      <c r="A6" s="26" t="n">
        <v>3</v>
      </c>
      <c r="B6" s="41" t="s">
        <v>491</v>
      </c>
      <c r="C6" s="37" t="s">
        <v>492</v>
      </c>
    </row>
    <row r="7" customFormat="false" ht="19.5" hidden="false" customHeight="true" outlineLevel="0" collapsed="false">
      <c r="A7" s="26" t="n">
        <v>4</v>
      </c>
      <c r="B7" s="36" t="s">
        <v>493</v>
      </c>
      <c r="C7" s="37" t="s">
        <v>494</v>
      </c>
    </row>
    <row r="8" customFormat="false" ht="19.5" hidden="false" customHeight="true" outlineLevel="0" collapsed="false">
      <c r="A8" s="26" t="n">
        <v>5</v>
      </c>
      <c r="B8" s="36" t="s">
        <v>495</v>
      </c>
      <c r="C8" s="37" t="s">
        <v>496</v>
      </c>
    </row>
    <row r="9" customFormat="false" ht="19.5" hidden="false" customHeight="true" outlineLevel="0" collapsed="false">
      <c r="A9" s="26" t="n">
        <v>6</v>
      </c>
      <c r="B9" s="36" t="s">
        <v>497</v>
      </c>
      <c r="C9" s="37" t="s">
        <v>498</v>
      </c>
    </row>
    <row r="10" customFormat="false" ht="19.5" hidden="false" customHeight="true" outlineLevel="0" collapsed="false">
      <c r="A10" s="26" t="n">
        <v>7</v>
      </c>
      <c r="B10" s="41" t="s">
        <v>499</v>
      </c>
      <c r="C10" s="37" t="s">
        <v>500</v>
      </c>
    </row>
    <row r="11" customFormat="false" ht="19.5" hidden="false" customHeight="true" outlineLevel="0" collapsed="false">
      <c r="A11" s="26" t="n">
        <v>8</v>
      </c>
      <c r="B11" s="36" t="s">
        <v>501</v>
      </c>
      <c r="C11" s="37" t="s">
        <v>502</v>
      </c>
    </row>
    <row r="12" customFormat="false" ht="19.5" hidden="false" customHeight="true" outlineLevel="0" collapsed="false">
      <c r="A12" s="26" t="n">
        <v>9</v>
      </c>
      <c r="B12" s="41" t="s">
        <v>503</v>
      </c>
      <c r="C12" s="38" t="s">
        <v>504</v>
      </c>
    </row>
    <row r="13" customFormat="false" ht="19.5" hidden="false" customHeight="true" outlineLevel="0" collapsed="false">
      <c r="A13" s="26" t="n">
        <v>10</v>
      </c>
      <c r="B13" s="36" t="s">
        <v>505</v>
      </c>
      <c r="C13" s="37" t="s">
        <v>506</v>
      </c>
    </row>
    <row r="14" customFormat="false" ht="19.5" hidden="false" customHeight="true" outlineLevel="0" collapsed="false">
      <c r="A14" s="26" t="n">
        <v>11</v>
      </c>
      <c r="B14" s="36" t="s">
        <v>507</v>
      </c>
      <c r="C14" s="37" t="s">
        <v>508</v>
      </c>
    </row>
    <row r="15" customFormat="false" ht="19.5" hidden="false" customHeight="true" outlineLevel="0" collapsed="false">
      <c r="A15" s="26" t="n">
        <v>12</v>
      </c>
      <c r="B15" s="36" t="s">
        <v>509</v>
      </c>
      <c r="C15" s="38" t="s">
        <v>510</v>
      </c>
    </row>
    <row r="16" customFormat="false" ht="19.5" hidden="false" customHeight="true" outlineLevel="0" collapsed="false">
      <c r="A16" s="26" t="n">
        <v>13</v>
      </c>
      <c r="B16" s="41" t="s">
        <v>511</v>
      </c>
      <c r="C16" s="37" t="s">
        <v>512</v>
      </c>
    </row>
    <row r="17" customFormat="false" ht="33" hidden="false" customHeight="true" outlineLevel="0" collapsed="false">
      <c r="A17" s="26" t="n">
        <v>14</v>
      </c>
      <c r="B17" s="41" t="s">
        <v>513</v>
      </c>
      <c r="C17" s="37" t="s">
        <v>514</v>
      </c>
    </row>
    <row r="18" customFormat="false" ht="33" hidden="false" customHeight="true" outlineLevel="0" collapsed="false">
      <c r="A18" s="26" t="n">
        <v>15</v>
      </c>
      <c r="B18" s="36" t="s">
        <v>515</v>
      </c>
      <c r="C18" s="37" t="s">
        <v>516</v>
      </c>
    </row>
    <row r="19" customFormat="false" ht="19.5" hidden="false" customHeight="true" outlineLevel="0" collapsed="false">
      <c r="A19" s="26" t="n">
        <v>16</v>
      </c>
      <c r="B19" s="41" t="s">
        <v>517</v>
      </c>
      <c r="C19" s="37" t="s">
        <v>518</v>
      </c>
    </row>
    <row r="20" customFormat="false" ht="19.5" hidden="false" customHeight="true" outlineLevel="0" collapsed="false">
      <c r="A20" s="26" t="n">
        <v>17</v>
      </c>
      <c r="B20" s="41" t="s">
        <v>519</v>
      </c>
      <c r="C20" s="37" t="s">
        <v>520</v>
      </c>
    </row>
    <row r="21" customFormat="false" ht="19.5" hidden="false" customHeight="true" outlineLevel="0" collapsed="false">
      <c r="A21" s="26" t="n">
        <v>18</v>
      </c>
      <c r="B21" s="36" t="s">
        <v>521</v>
      </c>
      <c r="C21" s="37" t="s">
        <v>522</v>
      </c>
    </row>
    <row r="22" customFormat="false" ht="19.5" hidden="false" customHeight="true" outlineLevel="0" collapsed="false">
      <c r="A22" s="26" t="n">
        <v>19</v>
      </c>
      <c r="B22" s="41" t="s">
        <v>523</v>
      </c>
      <c r="C22" s="37" t="s">
        <v>524</v>
      </c>
    </row>
    <row r="23" customFormat="false" ht="19.5" hidden="false" customHeight="true" outlineLevel="0" collapsed="false">
      <c r="A23" s="26" t="n">
        <v>20</v>
      </c>
      <c r="B23" s="41" t="s">
        <v>525</v>
      </c>
      <c r="C23" s="37" t="s">
        <v>526</v>
      </c>
    </row>
    <row r="24" customFormat="false" ht="19.5" hidden="false" customHeight="true" outlineLevel="0" collapsed="false">
      <c r="A24" s="26" t="n">
        <v>21</v>
      </c>
      <c r="B24" s="41" t="s">
        <v>527</v>
      </c>
      <c r="C24" s="37" t="s">
        <v>528</v>
      </c>
    </row>
    <row r="25" customFormat="false" ht="19.5" hidden="false" customHeight="true" outlineLevel="0" collapsed="false">
      <c r="A25" s="26" t="n">
        <v>22</v>
      </c>
      <c r="B25" s="36" t="s">
        <v>529</v>
      </c>
      <c r="C25" s="38" t="s">
        <v>530</v>
      </c>
    </row>
    <row r="26" customFormat="false" ht="19.5" hidden="false" customHeight="true" outlineLevel="0" collapsed="false">
      <c r="A26" s="26" t="n">
        <v>23</v>
      </c>
      <c r="B26" s="36" t="s">
        <v>531</v>
      </c>
      <c r="C26" s="37" t="s">
        <v>532</v>
      </c>
    </row>
    <row r="27" customFormat="false" ht="19.5" hidden="false" customHeight="true" outlineLevel="0" collapsed="false">
      <c r="A27" s="26" t="n">
        <v>24</v>
      </c>
      <c r="B27" s="36" t="s">
        <v>533</v>
      </c>
      <c r="C27" s="37" t="s">
        <v>534</v>
      </c>
    </row>
    <row r="28" customFormat="false" ht="19.5" hidden="false" customHeight="true" outlineLevel="0" collapsed="false">
      <c r="A28" s="26" t="n">
        <v>25</v>
      </c>
      <c r="B28" s="36" t="s">
        <v>535</v>
      </c>
      <c r="C28" s="37" t="s">
        <v>536</v>
      </c>
    </row>
    <row r="29" customFormat="false" ht="19.5" hidden="false" customHeight="true" outlineLevel="0" collapsed="false">
      <c r="A29" s="26" t="n">
        <v>26</v>
      </c>
      <c r="B29" s="36" t="s">
        <v>537</v>
      </c>
      <c r="C29" s="37" t="s">
        <v>538</v>
      </c>
    </row>
    <row r="30" customFormat="false" ht="19.5" hidden="false" customHeight="true" outlineLevel="0" collapsed="false">
      <c r="A30" s="26" t="n">
        <v>27</v>
      </c>
      <c r="B30" s="36" t="s">
        <v>539</v>
      </c>
      <c r="C30" s="37" t="s">
        <v>540</v>
      </c>
    </row>
    <row r="31" customFormat="false" ht="33" hidden="false" customHeight="true" outlineLevel="0" collapsed="false">
      <c r="A31" s="26" t="n">
        <v>28</v>
      </c>
      <c r="B31" s="36" t="s">
        <v>541</v>
      </c>
      <c r="C31" s="37" t="s">
        <v>542</v>
      </c>
    </row>
    <row r="32" customFormat="false" ht="19.5" hidden="false" customHeight="true" outlineLevel="0" collapsed="false">
      <c r="A32" s="26" t="n">
        <v>29</v>
      </c>
      <c r="B32" s="36" t="s">
        <v>543</v>
      </c>
      <c r="C32" s="37" t="s">
        <v>544</v>
      </c>
    </row>
  </sheetData>
  <mergeCells count="1">
    <mergeCell ref="A1:C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90"/>
  </cols>
  <sheetData>
    <row r="1" customFormat="false" ht="30" hidden="false" customHeight="true" outlineLevel="0" collapsed="false">
      <c r="A1" s="35" t="s">
        <v>545</v>
      </c>
      <c r="B1" s="35"/>
      <c r="C1" s="35"/>
      <c r="D1" s="35"/>
    </row>
    <row r="2" customFormat="false" ht="33.75" hidden="false" customHeight="true" outlineLevel="0" collapsed="false">
      <c r="A2" s="16" t="s">
        <v>546</v>
      </c>
      <c r="B2" s="16"/>
      <c r="C2" s="16"/>
      <c r="D2" s="16"/>
    </row>
    <row r="4" customFormat="false" ht="15" hidden="false" customHeight="false" outlineLevel="0" collapsed="false">
      <c r="A4" s="24" t="s">
        <v>185</v>
      </c>
      <c r="B4" s="24" t="s">
        <v>547</v>
      </c>
      <c r="C4" s="24" t="s">
        <v>548</v>
      </c>
      <c r="D4" s="24" t="s">
        <v>549</v>
      </c>
    </row>
    <row r="5" customFormat="false" ht="47.25" hidden="false" customHeight="true" outlineLevel="0" collapsed="false">
      <c r="A5" s="36" t="s">
        <v>550</v>
      </c>
      <c r="B5" s="38" t="s">
        <v>551</v>
      </c>
      <c r="C5" s="38" t="s">
        <v>552</v>
      </c>
      <c r="D5" s="49" t="s">
        <v>553</v>
      </c>
    </row>
    <row r="6" customFormat="false" ht="33" hidden="false" customHeight="true" outlineLevel="0" collapsed="false">
      <c r="A6" s="36" t="s">
        <v>554</v>
      </c>
      <c r="B6" s="38" t="s">
        <v>555</v>
      </c>
      <c r="C6" s="38" t="s">
        <v>193</v>
      </c>
      <c r="D6" s="50" t="s">
        <v>556</v>
      </c>
    </row>
    <row r="7" customFormat="false" ht="47.25" hidden="false" customHeight="true" outlineLevel="0" collapsed="false">
      <c r="A7" s="36" t="s">
        <v>557</v>
      </c>
      <c r="B7" s="38" t="s">
        <v>558</v>
      </c>
      <c r="C7" s="38" t="s">
        <v>201</v>
      </c>
      <c r="D7" s="50" t="s">
        <v>559</v>
      </c>
    </row>
    <row r="8" customFormat="false" ht="33" hidden="false" customHeight="true" outlineLevel="0" collapsed="false">
      <c r="A8" s="36" t="s">
        <v>560</v>
      </c>
      <c r="B8" s="37" t="s">
        <v>561</v>
      </c>
      <c r="C8" s="38" t="s">
        <v>201</v>
      </c>
      <c r="D8" s="50" t="s">
        <v>562</v>
      </c>
    </row>
    <row r="9" customFormat="false" ht="47.25" hidden="false" customHeight="true" outlineLevel="0" collapsed="false">
      <c r="A9" s="36" t="s">
        <v>214</v>
      </c>
      <c r="B9" s="38" t="s">
        <v>563</v>
      </c>
      <c r="C9" s="38" t="s">
        <v>208</v>
      </c>
      <c r="D9" s="50" t="s">
        <v>564</v>
      </c>
    </row>
    <row r="10" customFormat="false" ht="47.25" hidden="false" customHeight="true" outlineLevel="0" collapsed="false">
      <c r="A10" s="36" t="s">
        <v>565</v>
      </c>
      <c r="B10" s="38" t="s">
        <v>566</v>
      </c>
      <c r="C10" s="38" t="s">
        <v>221</v>
      </c>
      <c r="D10" s="50" t="s">
        <v>567</v>
      </c>
    </row>
    <row r="11" customFormat="false" ht="33" hidden="false" customHeight="true" outlineLevel="0" collapsed="false">
      <c r="A11" s="36" t="s">
        <v>235</v>
      </c>
      <c r="B11" s="38" t="s">
        <v>568</v>
      </c>
      <c r="C11" s="38" t="s">
        <v>228</v>
      </c>
      <c r="D11" s="50" t="s">
        <v>569</v>
      </c>
    </row>
    <row r="12" customFormat="false" ht="47.25" hidden="false" customHeight="true" outlineLevel="0" collapsed="false">
      <c r="A12" s="36" t="s">
        <v>570</v>
      </c>
      <c r="B12" s="38" t="s">
        <v>571</v>
      </c>
      <c r="C12" s="38" t="s">
        <v>236</v>
      </c>
      <c r="D12" s="50" t="s">
        <v>572</v>
      </c>
    </row>
    <row r="13" customFormat="false" ht="33" hidden="false" customHeight="true" outlineLevel="0" collapsed="false">
      <c r="A13" s="36" t="s">
        <v>573</v>
      </c>
      <c r="B13" s="38" t="s">
        <v>574</v>
      </c>
      <c r="C13" s="38" t="s">
        <v>236</v>
      </c>
      <c r="D13" s="50" t="s">
        <v>575</v>
      </c>
    </row>
    <row r="14" customFormat="false" ht="33" hidden="false" customHeight="true" outlineLevel="0" collapsed="false">
      <c r="A14" s="36" t="s">
        <v>576</v>
      </c>
      <c r="B14" s="38" t="s">
        <v>577</v>
      </c>
      <c r="C14" s="38" t="s">
        <v>236</v>
      </c>
      <c r="D14" s="50" t="s">
        <v>578</v>
      </c>
    </row>
    <row r="15" customFormat="false" ht="33" hidden="false" customHeight="true" outlineLevel="0" collapsed="false">
      <c r="A15" s="36" t="s">
        <v>579</v>
      </c>
      <c r="B15" s="38" t="s">
        <v>580</v>
      </c>
      <c r="C15" s="38" t="s">
        <v>244</v>
      </c>
      <c r="D15" s="50" t="s">
        <v>581</v>
      </c>
    </row>
    <row r="16" customFormat="false" ht="33" hidden="false" customHeight="true" outlineLevel="0" collapsed="false">
      <c r="A16" s="36" t="s">
        <v>582</v>
      </c>
      <c r="B16" s="38" t="s">
        <v>583</v>
      </c>
      <c r="C16" s="38" t="s">
        <v>244</v>
      </c>
      <c r="D16" s="50" t="s">
        <v>584</v>
      </c>
    </row>
    <row r="17" customFormat="false" ht="47.25" hidden="false" customHeight="true" outlineLevel="0" collapsed="false">
      <c r="A17" s="36" t="s">
        <v>585</v>
      </c>
      <c r="B17" s="38" t="s">
        <v>586</v>
      </c>
      <c r="C17" s="38" t="s">
        <v>244</v>
      </c>
      <c r="D17" s="49" t="s">
        <v>587</v>
      </c>
    </row>
    <row r="18" customFormat="false" ht="47.25" hidden="false" customHeight="true" outlineLevel="0" collapsed="false">
      <c r="A18" s="36" t="s">
        <v>258</v>
      </c>
      <c r="B18" s="38" t="s">
        <v>588</v>
      </c>
      <c r="C18" s="38" t="s">
        <v>252</v>
      </c>
      <c r="D18" s="49" t="s">
        <v>587</v>
      </c>
    </row>
    <row r="19" customFormat="false" ht="47.25" hidden="false" customHeight="true" outlineLevel="0" collapsed="false">
      <c r="A19" s="36" t="s">
        <v>589</v>
      </c>
      <c r="B19" s="38" t="s">
        <v>590</v>
      </c>
      <c r="C19" s="38" t="s">
        <v>591</v>
      </c>
      <c r="D19" s="50" t="s">
        <v>592</v>
      </c>
    </row>
    <row r="20" customFormat="false" ht="47.25" hidden="false" customHeight="true" outlineLevel="0" collapsed="false">
      <c r="A20" s="36" t="s">
        <v>593</v>
      </c>
      <c r="B20" s="38" t="s">
        <v>594</v>
      </c>
      <c r="C20" s="38" t="s">
        <v>266</v>
      </c>
      <c r="D20" s="50" t="s">
        <v>595</v>
      </c>
    </row>
    <row r="21" customFormat="false" ht="33" hidden="false" customHeight="true" outlineLevel="0" collapsed="false">
      <c r="A21" s="36" t="s">
        <v>281</v>
      </c>
      <c r="B21" s="38" t="s">
        <v>596</v>
      </c>
      <c r="C21" s="38" t="s">
        <v>274</v>
      </c>
      <c r="D21" s="50" t="s">
        <v>597</v>
      </c>
    </row>
    <row r="22" customFormat="false" ht="47.25" hidden="false" customHeight="true" outlineLevel="0" collapsed="false">
      <c r="A22" s="36" t="s">
        <v>598</v>
      </c>
      <c r="B22" s="38" t="s">
        <v>599</v>
      </c>
      <c r="C22" s="38" t="s">
        <v>282</v>
      </c>
      <c r="D22" s="50" t="s">
        <v>600</v>
      </c>
    </row>
    <row r="23" customFormat="false" ht="19.5" hidden="false" customHeight="true" outlineLevel="0" collapsed="false">
      <c r="A23" s="36" t="s">
        <v>601</v>
      </c>
      <c r="B23" s="38" t="s">
        <v>602</v>
      </c>
      <c r="C23" s="38" t="s">
        <v>282</v>
      </c>
      <c r="D23" s="49" t="s">
        <v>587</v>
      </c>
    </row>
    <row r="24" customFormat="false" ht="47.25" hidden="false" customHeight="true" outlineLevel="0" collapsed="false">
      <c r="A24" s="36" t="s">
        <v>603</v>
      </c>
      <c r="B24" s="38" t="s">
        <v>604</v>
      </c>
      <c r="C24" s="38" t="s">
        <v>290</v>
      </c>
      <c r="D24" s="50" t="s">
        <v>605</v>
      </c>
    </row>
    <row r="25" customFormat="false" ht="47.25" hidden="false" customHeight="true" outlineLevel="0" collapsed="false">
      <c r="A25" s="36" t="s">
        <v>606</v>
      </c>
      <c r="B25" s="38" t="s">
        <v>607</v>
      </c>
      <c r="C25" s="38" t="s">
        <v>290</v>
      </c>
      <c r="D25" s="50" t="s">
        <v>608</v>
      </c>
    </row>
    <row r="26" customFormat="false" ht="33" hidden="false" customHeight="true" outlineLevel="0" collapsed="false">
      <c r="A26" s="36" t="s">
        <v>303</v>
      </c>
      <c r="B26" s="38" t="s">
        <v>609</v>
      </c>
      <c r="C26" s="38" t="s">
        <v>297</v>
      </c>
      <c r="D26" s="50" t="s">
        <v>610</v>
      </c>
    </row>
    <row r="27" customFormat="false" ht="47.25" hidden="false" customHeight="true" outlineLevel="0" collapsed="false">
      <c r="A27" s="36" t="s">
        <v>311</v>
      </c>
      <c r="B27" s="38" t="s">
        <v>611</v>
      </c>
      <c r="C27" s="38" t="s">
        <v>304</v>
      </c>
      <c r="D27" s="50" t="s">
        <v>612</v>
      </c>
    </row>
    <row r="28" customFormat="false" ht="47.25" hidden="false" customHeight="true" outlineLevel="0" collapsed="false">
      <c r="A28" s="36" t="s">
        <v>613</v>
      </c>
      <c r="B28" s="37" t="s">
        <v>614</v>
      </c>
      <c r="C28" s="38" t="s">
        <v>312</v>
      </c>
      <c r="D28" s="50" t="s">
        <v>615</v>
      </c>
    </row>
    <row r="29" customFormat="false" ht="47.25" hidden="false" customHeight="true" outlineLevel="0" collapsed="false">
      <c r="A29" s="36" t="s">
        <v>616</v>
      </c>
      <c r="B29" s="37" t="s">
        <v>617</v>
      </c>
      <c r="C29" s="38" t="s">
        <v>312</v>
      </c>
      <c r="D29" s="50" t="s">
        <v>618</v>
      </c>
    </row>
    <row r="30" customFormat="false" ht="61.5" hidden="false" customHeight="true" outlineLevel="0" collapsed="false">
      <c r="A30" s="36" t="s">
        <v>327</v>
      </c>
      <c r="B30" s="38" t="s">
        <v>619</v>
      </c>
      <c r="C30" s="38" t="s">
        <v>320</v>
      </c>
      <c r="D30" s="50" t="s">
        <v>620</v>
      </c>
    </row>
    <row r="31" customFormat="false" ht="47.25" hidden="false" customHeight="true" outlineLevel="0" collapsed="false">
      <c r="A31" s="36" t="s">
        <v>621</v>
      </c>
      <c r="B31" s="38" t="s">
        <v>622</v>
      </c>
      <c r="C31" s="38" t="s">
        <v>623</v>
      </c>
      <c r="D31" s="50" t="s">
        <v>624</v>
      </c>
    </row>
    <row r="32" customFormat="false" ht="33" hidden="false" customHeight="true" outlineLevel="0" collapsed="false">
      <c r="A32" s="36" t="s">
        <v>625</v>
      </c>
      <c r="B32" s="38" t="s">
        <v>626</v>
      </c>
      <c r="C32" s="37" t="s">
        <v>627</v>
      </c>
      <c r="D32" s="50" t="s">
        <v>628</v>
      </c>
    </row>
    <row r="33" customFormat="false" ht="61.5" hidden="false" customHeight="true" outlineLevel="0" collapsed="false">
      <c r="A33" s="36" t="s">
        <v>629</v>
      </c>
      <c r="B33" s="37" t="s">
        <v>630</v>
      </c>
      <c r="C33" s="37" t="s">
        <v>631</v>
      </c>
      <c r="D33" s="50" t="s">
        <v>632</v>
      </c>
    </row>
    <row r="34" customFormat="false" ht="47.25" hidden="false" customHeight="true" outlineLevel="0" collapsed="false">
      <c r="A34" s="36" t="s">
        <v>633</v>
      </c>
      <c r="B34" s="37" t="s">
        <v>634</v>
      </c>
      <c r="C34" s="38" t="s">
        <v>635</v>
      </c>
      <c r="D34" s="50" t="s">
        <v>636</v>
      </c>
    </row>
    <row r="35" customFormat="false" ht="33" hidden="false" customHeight="true" outlineLevel="0" collapsed="false">
      <c r="A35" s="36" t="s">
        <v>637</v>
      </c>
      <c r="B35" s="37" t="s">
        <v>638</v>
      </c>
      <c r="C35" s="38" t="s">
        <v>639</v>
      </c>
      <c r="D35" s="50" t="s">
        <v>640</v>
      </c>
    </row>
    <row r="36" customFormat="false" ht="33" hidden="false" customHeight="true" outlineLevel="0" collapsed="false">
      <c r="A36" s="36" t="s">
        <v>641</v>
      </c>
      <c r="B36" s="37" t="s">
        <v>642</v>
      </c>
      <c r="C36" s="37" t="s">
        <v>643</v>
      </c>
      <c r="D36" s="50" t="s">
        <v>644</v>
      </c>
    </row>
    <row r="37" customFormat="false" ht="33" hidden="false" customHeight="true" outlineLevel="0" collapsed="false">
      <c r="A37" s="36" t="s">
        <v>475</v>
      </c>
      <c r="B37" s="38" t="s">
        <v>645</v>
      </c>
      <c r="C37" s="38" t="s">
        <v>646</v>
      </c>
      <c r="D37" s="50" t="s">
        <v>647</v>
      </c>
    </row>
    <row r="38" customFormat="false" ht="33" hidden="false" customHeight="true" outlineLevel="0" collapsed="false">
      <c r="A38" s="36" t="s">
        <v>479</v>
      </c>
      <c r="B38" s="37" t="s">
        <v>648</v>
      </c>
      <c r="C38" s="38" t="s">
        <v>646</v>
      </c>
      <c r="D38" s="50" t="s">
        <v>649</v>
      </c>
    </row>
    <row r="39" customFormat="false" ht="33" hidden="false" customHeight="true" outlineLevel="0" collapsed="false">
      <c r="A39" s="36" t="s">
        <v>483</v>
      </c>
      <c r="B39" s="37" t="s">
        <v>650</v>
      </c>
      <c r="C39" s="38" t="s">
        <v>646</v>
      </c>
      <c r="D39" s="50" t="s">
        <v>651</v>
      </c>
    </row>
    <row r="40" customFormat="false" ht="33" hidden="false" customHeight="true" outlineLevel="0" collapsed="false">
      <c r="A40" s="36" t="s">
        <v>179</v>
      </c>
      <c r="B40" s="38" t="s">
        <v>652</v>
      </c>
      <c r="C40" s="38" t="s">
        <v>653</v>
      </c>
      <c r="D40" s="50" t="s">
        <v>654</v>
      </c>
    </row>
    <row r="41" customFormat="false" ht="33" hidden="false" customHeight="true" outlineLevel="0" collapsed="false">
      <c r="A41" s="36" t="s">
        <v>655</v>
      </c>
      <c r="B41" s="38" t="s">
        <v>656</v>
      </c>
      <c r="C41" s="37" t="s">
        <v>657</v>
      </c>
      <c r="D41" s="50" t="s">
        <v>658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2026-10-09T02:00:27Z</dcterms:created>
  <dc:creator>openpyxl</dc:creator>
  <dc:description/>
  <dc:language>en-US</dc:language>
  <cp:lastModifiedBy/>
  <dcterms:modified xsi:type="dcterms:W3CDTF">2026-10-09T02:00:27Z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